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5e0506f6724841" /></Relationships>
</file>

<file path=xl/workbook.xml><?xml version="1.0" encoding="utf-8"?>
<x:workbook xmlns:x="http://schemas.openxmlformats.org/spreadsheetml/2006/main">
  <x:sheets>
    <x:sheet xmlns:r="http://schemas.openxmlformats.org/officeDocument/2006/relationships" name="Summary" sheetId="1" r:id="Rb8e254b400c54c22"/>
    <x:sheet xmlns:r="http://schemas.openxmlformats.org/officeDocument/2006/relationships" name="Test settings" sheetId="2" r:id="R2411715211a54896"/>
    <x:sheet xmlns:r="http://schemas.openxmlformats.org/officeDocument/2006/relationships" name="Hypothesis findings" sheetId="3" r:id="R13c6f993b0ae476b"/>
    <x:sheet xmlns:r="http://schemas.openxmlformats.org/officeDocument/2006/relationships" name="A full quality" sheetId="4" r:id="Rfa0f6e4661b14016"/>
    <x:sheet xmlns:r="http://schemas.openxmlformats.org/officeDocument/2006/relationships" name="Matched quality cost" sheetId="5" r:id="R18eba15ae69b4e05"/>
    <x:sheet xmlns:r="http://schemas.openxmlformats.org/officeDocument/2006/relationships" name="Paired changes" sheetId="6" r:id="R5291a9bce0cc442b"/>
    <x:sheet xmlns:r="http://schemas.openxmlformats.org/officeDocument/2006/relationships" name="Question types" sheetId="7" r:id="R70b45e9cecc14708"/>
    <x:sheet xmlns:r="http://schemas.openxmlformats.org/officeDocument/2006/relationships" name="Mechanisms" sheetId="8" r:id="R36a3b3a3871f46ae"/>
    <x:sheet xmlns:r="http://schemas.openxmlformats.org/officeDocument/2006/relationships" name="Graph structure" sheetId="9" r:id="R89fff796bc144dac"/>
    <x:sheet xmlns:r="http://schemas.openxmlformats.org/officeDocument/2006/relationships" name="Context and indexing" sheetId="10" r:id="R6dc318a029bb4bbd"/>
    <x:sheet xmlns:r="http://schemas.openxmlformats.org/officeDocument/2006/relationships" name="Tokens and latency" sheetId="11" r:id="R4d5d277b5cb94f57"/>
    <x:sheet xmlns:r="http://schemas.openxmlformats.org/officeDocument/2006/relationships" name="A retrieval" sheetId="12" r:id="Ra2123a0e6a5e433a"/>
    <x:sheet xmlns:r="http://schemas.openxmlformats.org/officeDocument/2006/relationships" name="API spend" sheetId="13" r:id="R778a34ecc9a14e50"/>
    <x:sheet xmlns:r="http://schemas.openxmlformats.org/officeDocument/2006/relationships" name="Notes and limitations" sheetId="14" r:id="Rcdcb8721dbd44da3"/>
    <x:sheet xmlns:r="http://schemas.openxmlformats.org/officeDocument/2006/relationships" name="Dataset sources" sheetId="15" r:id="R406d3b22c846446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0.00;0.00"/>
    <x:numFmt numFmtId="203" formatCode="$0.0000"/>
    <x:numFmt numFmtId="204" formatCode="#,##0.00"/>
  </x:numFmts>
  <x:fonts count="7">
    <x:font>
      <x:sz val="11"/>
      <x:name val="Carlito"/>
    </x:font>
    <x:font>
      <x:sz val="11"/>
      <x:color rgb="FF243447"/>
      <x:name val="Arial"/>
    </x:font>
    <x:font>
      <x:b/>
      <x:sz val="17"/>
      <x:color rgb="FF17324D"/>
      <x:name val="Arial"/>
    </x:font>
    <x:font>
      <x:sz val="10"/>
      <x:color rgb="FF526477"/>
      <x:name val="Arial"/>
    </x:font>
    <x:font>
      <x:b/>
      <x:sz val="11"/>
      <x:color rgb="FFFFFFFF"/>
      <x:name val="Arial"/>
    </x:font>
    <x:font>
      <x:b/>
      <x:sz val="11"/>
      <x:color rgb="FF175842"/>
      <x:name val="Arial"/>
    </x:font>
    <x:font>
      <x:b/>
      <x:sz val="11"/>
      <x:name val="Arial"/>
    </x:font>
  </x:fonts>
  <x:fills count="4">
    <x:fill>
      <x:patternFill patternType="none"/>
    </x:fill>
    <x:fill>
      <x:patternFill patternType="gray125"/>
    </x:fill>
    <x:fill>
      <x:patternFill patternType="solid">
        <x:fgColor rgb="FF17324D"/>
      </x:patternFill>
    </x:fill>
    <x:fill>
      <x:patternFill patternType="solid">
        <x:fgColor rgb="FFE0EFE9"/>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200" fontId="1" fillId="0"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2" fontId="1" fillId="0" borderId="0" xfId="0" applyNumberFormat="1" applyFont="1" applyFill="1" applyBorder="1" applyAlignment="1">
      <x:alignment vertical="center" wrapText="0"/>
    </x:xf>
    <x:xf numFmtId="201" fontId="1" fillId="3" borderId="0" xfId="0" applyNumberFormat="1" applyFont="1" applyFill="1" applyBorder="1" applyAlignment="1">
      <x:alignment vertical="center" wrapText="0"/>
    </x:xf>
    <x:xf numFmtId="201" fontId="5" fillId="3" borderId="0" xfId="0" applyNumberFormat="1" applyFont="1" applyFill="1" applyBorder="1" applyAlignment="1">
      <x:alignment vertical="center" wrapText="0"/>
    </x:xf>
    <x:xf numFmtId="203" fontId="1" fillId="0" borderId="0" xfId="0" applyNumberFormat="1" applyFont="1" applyFill="1" applyBorder="1" applyAlignment="1">
      <x:alignment vertical="center" wrapText="0"/>
    </x:xf>
    <x:xf numFmtId="204" fontId="1" fillId="0" borderId="0" xfId="0" applyNumberFormat="1" applyFont="1" applyFill="1" applyBorder="1" applyAlignment="1">
      <x:alignment vertical="center" wrapText="0"/>
    </x:xf>
    <x:xf numFmtId="0" fontId="6" fillId="0" borderId="0" xfId="0" applyNumberFormat="1" applyFont="1" applyFill="1" applyBorder="1"/>
    <x:xf numFmtId="203" fontId="0" fillId="0" borderId="0" xfId="0" applyNumberFormat="1" applyFont="1" applyFill="1" applyBorder="1"/>
  </x:cellXfs>
  <x:cellStyles count="1">
    <x:cellStyle name="Normal" xfId="0"/>
  </x:cellStyles>
  <x:dxfs count="1">
    <x:dxf>
      <x:font>
        <x:color rgb="FFA52C3A"/>
      </x:font>
    </x:dxf>
  </x:dxfs>
</x:styleSheet>
</file>

<file path=xl/_rels/workbook.xml.rels>&#65279;<?xml version="1.0" encoding="utf-8"?><Relationships xmlns="http://schemas.openxmlformats.org/package/2006/relationships"><Relationship Type="http://schemas.openxmlformats.org/officeDocument/2006/relationships/styles" Target="/xl/styles.xml" Id="R9c7dee8de0704fb9" /><Relationship Type="http://schemas.openxmlformats.org/officeDocument/2006/relationships/theme" Target="/xl/theme/theme1.xml" Id="R1973258935174d97" /><Relationship Type="http://schemas.openxmlformats.org/officeDocument/2006/relationships/sharedStrings" Target="/xl/sharedStrings.xml" Id="Re4dd0f0541d84e5a" /><Relationship Type="http://schemas.openxmlformats.org/officeDocument/2006/relationships/worksheet" Target="/xl/worksheets/sheet1.xml" Id="Rb8e254b400c54c22" /><Relationship Type="http://schemas.openxmlformats.org/officeDocument/2006/relationships/worksheet" Target="/xl/worksheets/sheet2.xml" Id="R2411715211a54896" /><Relationship Type="http://schemas.openxmlformats.org/officeDocument/2006/relationships/worksheet" Target="/xl/worksheets/sheet3.xml" Id="R13c6f993b0ae476b" /><Relationship Type="http://schemas.openxmlformats.org/officeDocument/2006/relationships/worksheet" Target="/xl/worksheets/sheet4.xml" Id="Rfa0f6e4661b14016" /><Relationship Type="http://schemas.openxmlformats.org/officeDocument/2006/relationships/worksheet" Target="/xl/worksheets/sheet5.xml" Id="R18eba15ae69b4e05" /><Relationship Type="http://schemas.openxmlformats.org/officeDocument/2006/relationships/worksheet" Target="/xl/worksheets/sheet6.xml" Id="R5291a9bce0cc442b" /><Relationship Type="http://schemas.openxmlformats.org/officeDocument/2006/relationships/worksheet" Target="/xl/worksheets/sheet7.xml" Id="R70b45e9cecc14708" /><Relationship Type="http://schemas.openxmlformats.org/officeDocument/2006/relationships/worksheet" Target="/xl/worksheets/sheet8.xml" Id="R36a3b3a3871f46ae" /><Relationship Type="http://schemas.openxmlformats.org/officeDocument/2006/relationships/worksheet" Target="/xl/worksheets/sheet9.xml" Id="R89fff796bc144dac" /><Relationship Type="http://schemas.openxmlformats.org/officeDocument/2006/relationships/worksheet" Target="/xl/worksheets/sheet10.xml" Id="R6dc318a029bb4bbd" /><Relationship Type="http://schemas.openxmlformats.org/officeDocument/2006/relationships/worksheet" Target="/xl/worksheets/sheet11.xml" Id="R4d5d277b5cb94f57" /><Relationship Type="http://schemas.openxmlformats.org/officeDocument/2006/relationships/worksheet" Target="/xl/worksheets/sheet12.xml" Id="Ra2123a0e6a5e433a" /><Relationship Type="http://schemas.openxmlformats.org/officeDocument/2006/relationships/worksheet" Target="/xl/worksheets/sheet13.xml" Id="R778a34ecc9a14e50" /><Relationship Type="http://schemas.openxmlformats.org/officeDocument/2006/relationships/worksheet" Target="/xl/worksheets/sheet14.xml" Id="Rcdcb8721dbd44da3" /><Relationship Type="http://schemas.openxmlformats.org/officeDocument/2006/relationships/worksheet" Target="/xl/worksheets/sheet15.xml" Id="R406d3b22c846446d" /></Relationships>
</file>

<file path=xl/tables/table1.xml><?xml version="1.0" encoding="utf-8"?>
<x:table xmlns:x="http://schemas.openxmlformats.org/spreadsheetml/2006/main" id="1" name="SummaryTable" displayName="SummaryTable" ref="A5:L25" headerRowCount="1" totalsRowCount="0" totalsRowShown="0">
  <x:tableColumns count="12">
    <x:tableColumn id="1" name="Test"/>
    <x:tableColumn id="2" name="Metric"/>
    <x:tableColumn id="3" name="A full N"/>
    <x:tableColumn id="4" name="A full score"/>
    <x:tableColumn id="5" name="Matched N"/>
    <x:tableColumn id="6" name="A matched"/>
    <x:tableColumn id="7" name="B"/>
    <x:tableColumn id="8" name="C"/>
    <x:tableColumn id="9" name="D"/>
    <x:tableColumn id="10" name="D minus A"/>
    <x:tableColumn id="11" name="Best matched"/>
    <x:tableColumn id="12" name="BCD scope"/>
  </x:tableColumns>
  <x:tableStyleInfo name="TableStyleLight9" showFirstColumn="0" showLastColumn="0" showRowStripes="1" showColumnStripes="0"/>
</x:table>
</file>

<file path=xl/tables/table2.xml><?xml version="1.0" encoding="utf-8"?>
<x:table xmlns:x="http://schemas.openxmlformats.org/spreadsheetml/2006/main" id="2" name="TestsettingsTable" displayName="TestsettingsTable" ref="A5:C28" headerRowCount="1" totalsRowCount="0" totalsRowShown="0">
  <x:tableColumns count="3">
    <x:tableColumn id="1" name="Variable"/>
    <x:tableColumn id="2" name="Setting"/>
    <x:tableColumn id="3" name="Purpose"/>
  </x:tableColumns>
  <x:tableStyleInfo name="TableStyleLight9" showFirstColumn="0" showLastColumn="0" showRowStripes="1" showColumnStripes="0"/>
</x:table>
</file>

<file path=xl/tables/table3.xml><?xml version="1.0" encoding="utf-8"?>
<x:table xmlns:x="http://schemas.openxmlformats.org/spreadsheetml/2006/main" id="3" name="HypothesisfindingsTable" displayName="HypothesisfindingsTable" ref="A5:C13" headerRowCount="1" totalsRowCount="0" totalsRowShown="0">
  <x:tableColumns count="3">
    <x:tableColumn id="1" name="Hypothesis"/>
    <x:tableColumn id="2" name="Observed result"/>
    <x:tableColumn id="3" name="What it means"/>
  </x:tableColumns>
  <x:tableStyleInfo name="TableStyleLight9" showFirstColumn="0" showLastColumn="0" showRowStripes="1" showColumnStripes="0"/>
</x:table>
</file>

<file path=xl/tables/table4.xml><?xml version="1.0" encoding="utf-8"?>
<x:table xmlns:x="http://schemas.openxmlformats.org/spreadsheetml/2006/main" id="4" name="AfullqualityTable" displayName="AfullqualityTable" ref="A5:N25" headerRowCount="1" totalsRowCount="0" totalsRowShown="0">
  <x:tableColumns count="14">
    <x:tableColumn id="1" name="Test"/>
    <x:tableColumn id="2" name="Arm"/>
    <x:tableColumn id="3" name="Questions"/>
    <x:tableColumn id="4" name="Metric"/>
    <x:tableColumn id="5" name="Score /100"/>
    <x:tableColumn id="6" name="Correct"/>
    <x:tableColumn id="7" name="Correct basis"/>
    <x:tableColumn id="8" name="Exact match /100"/>
    <x:tableColumn id="9" name="Fact setup USD"/>
    <x:tableColumn id="10" name="Answer USD"/>
    <x:tableColumn id="11" name="Judge USD"/>
    <x:tableColumn id="12" name="Serving USD"/>
    <x:tableColumn id="13" name="Serving / Q"/>
    <x:tableColumn id="14" name="Serving / correct"/>
  </x:tableColumns>
  <x:tableStyleInfo name="TableStyleLight9" showFirstColumn="0" showLastColumn="0" showRowStripes="1" showColumnStripes="0"/>
</x:table>
</file>

<file path=xl/tables/table5.xml><?xml version="1.0" encoding="utf-8"?>
<x:table xmlns:x="http://schemas.openxmlformats.org/spreadsheetml/2006/main" id="5" name="MatchedqualitycostTable" displayName="MatchedqualitycostTable" ref="A5:N85" headerRowCount="1" totalsRowCount="0" totalsRowShown="0">
  <x:tableColumns count="14">
    <x:tableColumn id="1" name="Test"/>
    <x:tableColumn id="2" name="Arm"/>
    <x:tableColumn id="3" name="Questions"/>
    <x:tableColumn id="4" name="Metric"/>
    <x:tableColumn id="5" name="Score /100"/>
    <x:tableColumn id="6" name="Correct"/>
    <x:tableColumn id="7" name="Correct basis"/>
    <x:tableColumn id="8" name="Exact match /100"/>
    <x:tableColumn id="9" name="Fact setup USD"/>
    <x:tableColumn id="10" name="Answer USD"/>
    <x:tableColumn id="11" name="Judge USD"/>
    <x:tableColumn id="12" name="Serving USD"/>
    <x:tableColumn id="13" name="Serving / Q"/>
    <x:tableColumn id="14" name="Serving / correct"/>
  </x:tableColumns>
  <x:tableStyleInfo name="TableStyleLight9" showFirstColumn="0" showLastColumn="0" showRowStripes="1" showColumnStripes="0"/>
</x:table>
</file>

<file path=xl/tables/table6.xml><?xml version="1.0" encoding="utf-8"?>
<x:table xmlns:x="http://schemas.openxmlformats.org/spreadsheetml/2006/main" id="6" name="PairedchangesTable" displayName="PairedchangesTable" ref="A5:M105" headerRowCount="1" totalsRowCount="0" totalsRowShown="0">
  <x:tableColumns count="13">
    <x:tableColumn id="1" name="Test"/>
    <x:tableColumn id="2" name="Comparison"/>
    <x:tableColumn id="3" name="N"/>
    <x:tableColumn id="4" name="Histories"/>
    <x:tableColumn id="5" name="Metric"/>
    <x:tableColumn id="6" name="Reference"/>
    <x:tableColumn id="7" name="New"/>
    <x:tableColumn id="8" name="Delta"/>
    <x:tableColumn id="9" name="95% low"/>
    <x:tableColumn id="10" name="95% high"/>
    <x:tableColumn id="11" name="Wins"/>
    <x:tableColumn id="12" name="Losses"/>
    <x:tableColumn id="13" name="Ties"/>
  </x:tableColumns>
  <x:tableStyleInfo name="TableStyleLight9" showFirstColumn="0" showLastColumn="0" showRowStripes="1" showColumnStripes="0"/>
</x:table>
</file>

<file path=xl/tables/table7.xml><?xml version="1.0" encoding="utf-8"?>
<x:table xmlns:x="http://schemas.openxmlformats.org/spreadsheetml/2006/main" id="7" name="QuestiontypesTable" displayName="QuestiontypesTable" ref="A5:J88" headerRowCount="1" totalsRowCount="0" totalsRowShown="0">
  <x:tableColumns count="10">
    <x:tableColumn id="1" name="Test"/>
    <x:tableColumn id="2" name="Question type"/>
    <x:tableColumn id="3" name="Metric"/>
    <x:tableColumn id="4" name="Full N"/>
    <x:tableColumn id="5" name="A full"/>
    <x:tableColumn id="6" name="Matched N"/>
    <x:tableColumn id="7" name="A"/>
    <x:tableColumn id="8" name="B"/>
    <x:tableColumn id="9" name="C"/>
    <x:tableColumn id="10" name="D"/>
  </x:tableColumns>
  <x:tableStyleInfo name="TableStyleLight9" showFirstColumn="0" showLastColumn="0" showRowStripes="1" showColumnStripes="0"/>
</x:table>
</file>

<file path=xl/tables/table8.xml><?xml version="1.0" encoding="utf-8"?>
<x:table xmlns:x="http://schemas.openxmlformats.org/spreadsheetml/2006/main" id="8" name="MechanismsTable" displayName="MechanismsTable" ref="A5:M24" headerRowCount="1" totalsRowCount="0" totalsRowShown="0">
  <x:tableColumns count="13">
    <x:tableColumn id="1" name="Test"/>
    <x:tableColumn id="2" name="Prepared Q"/>
    <x:tableColumn id="3" name="Extracted pieces"/>
    <x:tableColumn id="4" name="Fallback pieces"/>
    <x:tableColumn id="5" name="Rejected facts"/>
    <x:tableColumn id="6" name="Stored facts"/>
    <x:tableColumn id="7" name="Compressed units"/>
    <x:tableColumn id="8" name="Superseded facts"/>
    <x:tableColumn id="9" name="Q hiding facts"/>
    <x:tableColumn id="10" name="B changed Q"/>
    <x:tableColumn id="11" name="C changed Q"/>
    <x:tableColumn id="12" name="D changed Q"/>
    <x:tableColumn id="13" name="End before start"/>
  </x:tableColumns>
  <x:tableStyleInfo name="TableStyleLight9" showFirstColumn="0" showLastColumn="0" showRowStripes="1" showColumnStripes="0"/>
</x:table>
</file>

<file path=xl/tables/table9.xml><?xml version="1.0" encoding="utf-8"?>
<x:table xmlns:x="http://schemas.openxmlformats.org/spreadsheetml/2006/main" id="9" name="GraphstructureTable" displayName="GraphstructureTable" ref="A5:G24" headerRowCount="1" totalsRowCount="0" totalsRowShown="0">
  <x:tableColumns count="7">
    <x:tableColumn id="1" name="Test"/>
    <x:tableColumn id="2" name="Histories"/>
    <x:tableColumn id="3" name="Topics"/>
    <x:tableColumn id="4" name="Communities"/>
    <x:tableColumn id="5" name="Entities"/>
    <x:tableColumn id="6" name="Typed edges"/>
    <x:tableColumn id="7" name="Shared setup USD"/>
  </x:tableColumns>
  <x:tableStyleInfo name="TableStyleLight9" showFirstColumn="0" showLastColumn="0" showRowStripes="1" showColumnStripes="0"/>
</x:table>
</file>

<file path=xl/tables/table10.xml><?xml version="1.0" encoding="utf-8"?>
<x:table xmlns:x="http://schemas.openxmlformats.org/spreadsheetml/2006/main" id="10" name="ContextandindexingTable" displayName="ContextandindexingTable" ref="A5:K24" headerRowCount="1" totalsRowCount="0" totalsRowShown="0">
  <x:tableColumns count="11">
    <x:tableColumn id="1" name="Test"/>
    <x:tableColumn id="2" name="Groups"/>
    <x:tableColumn id="3" name="Source units"/>
    <x:tableColumn id="4" name="Corpus tokens"/>
    <x:tableColumn id="5" name="Mean tokens / group"/>
    <x:tableColumn id="6" name="A index minutes"/>
    <x:tableColumn id="7" name="Index MB"/>
    <x:tableColumn id="8" name="BCD prep minutes"/>
    <x:tableColumn id="9" name="Graph seconds"/>
    <x:tableColumn id="10" name="A retrieval p50 ms"/>
    <x:tableColumn id="11" name="A retrieval p95 ms"/>
  </x:tableColumns>
  <x:tableStyleInfo name="TableStyleLight9" showFirstColumn="0" showLastColumn="0" showRowStripes="1" showColumnStripes="0"/>
</x:table>
</file>

<file path=xl/tables/table11.xml><?xml version="1.0" encoding="utf-8"?>
<x:table xmlns:x="http://schemas.openxmlformats.org/spreadsheetml/2006/main" id="11" name="TokensandlatencyTable" displayName="TokensandlatencyTable" ref="A5:L105" headerRowCount="1" totalsRowCount="0" totalsRowShown="0">
  <x:tableColumns count="12">
    <x:tableColumn id="1" name="Test"/>
    <x:tableColumn id="2" name="Arm"/>
    <x:tableColumn id="3" name="Questions"/>
    <x:tableColumn id="4" name="Input tokens"/>
    <x:tableColumn id="5" name="Output tokens"/>
    <x:tableColumn id="6" name="Mean evidence tokens"/>
    <x:tableColumn id="7" name="Cached Q"/>
    <x:tableColumn id="8" name="Empty Q"/>
    <x:tableColumn id="9" name="Reader p50 seconds"/>
    <x:tableColumn id="10" name="Reader p95 seconds"/>
    <x:tableColumn id="11" name="Max evidence tokens"/>
    <x:tableColumn id="12" name="Over 4K questions"/>
  </x:tableColumns>
  <x:tableStyleInfo name="TableStyleLight9" showFirstColumn="0" showLastColumn="0" showRowStripes="1" showColumnStripes="0"/>
</x:table>
</file>

<file path=xl/tables/table12.xml><?xml version="1.0" encoding="utf-8"?>
<x:table xmlns:x="http://schemas.openxmlformats.org/spreadsheetml/2006/main" id="12" name="AretrievalTable" displayName="AretrievalTable" ref="A5:H25" headerRowCount="1" totalsRowCount="0" totalsRowShown="0">
  <x:tableColumns count="8">
    <x:tableColumn id="1" name="Test"/>
    <x:tableColumn id="2" name="Gold Q"/>
    <x:tableColumn id="3" name="Incomplete excluded"/>
    <x:tableColumn id="4" name="Recall@5"/>
    <x:tableColumn id="5" name="Recall@10"/>
    <x:tableColumn id="6" name="Recall@100"/>
    <x:tableColumn id="7" name="Recall in 4K"/>
    <x:tableColumn id="8" name="All evidence in 4K"/>
  </x:tableColumns>
  <x:tableStyleInfo name="TableStyleLight9" showFirstColumn="0" showLastColumn="0" showRowStripes="1" showColumnStripes="0"/>
</x:table>
</file>

<file path=xl/tables/table13.xml><?xml version="1.0" encoding="utf-8"?>
<x:table xmlns:x="http://schemas.openxmlformats.org/spreadsheetml/2006/main" id="13" name="APIspendTable" displayName="APIspendTable" ref="A5:H12" headerRowCount="1" totalsRowCount="0" totalsRowShown="0">
  <x:tableColumns count="8">
    <x:tableColumn id="1" name="Campaign"/>
    <x:tableColumn id="2" name="Role"/>
    <x:tableColumn id="3" name="Status"/>
    <x:tableColumn id="4" name="Model"/>
    <x:tableColumn id="5" name="Calls"/>
    <x:tableColumn id="6" name="USD"/>
    <x:tableColumn id="7" name="Input tokens"/>
    <x:tableColumn id="8" name="Output tokens"/>
  </x:tableColumns>
  <x:tableStyleInfo name="TableStyleLight9" showFirstColumn="0" showLastColumn="0" showRowStripes="1" showColumnStripes="0"/>
</x:table>
</file>

<file path=xl/tables/table14.xml><?xml version="1.0" encoding="utf-8"?>
<x:table xmlns:x="http://schemas.openxmlformats.org/spreadsheetml/2006/main" id="14" name="NotesandlimitationsTable" displayName="NotesandlimitationsTable" ref="A5:B31" headerRowCount="1" totalsRowCount="0" totalsRowShown="0">
  <x:tableColumns count="2">
    <x:tableColumn id="1" name="Topic"/>
    <x:tableColumn id="2" name="Finding or limitation"/>
  </x:tableColumns>
  <x:tableStyleInfo name="TableStyleLight9" showFirstColumn="0" showLastColumn="0" showRowStripes="1" showColumnStripes="0"/>
</x:table>
</file>

<file path=xl/tables/table15.xml><?xml version="1.0" encoding="utf-8"?>
<x:table xmlns:x="http://schemas.openxmlformats.org/spreadsheetml/2006/main" id="15" name="DatasetsourcesTable" displayName="DatasetsourcesTable" ref="A5:D24" headerRowCount="1" totalsRowCount="0" totalsRowShown="0">
  <x:tableColumns count="4">
    <x:tableColumn id="1" name="Test"/>
    <x:tableColumn id="2" name="Variant evaluated"/>
    <x:tableColumn id="3" name="Source URL or dataset"/>
    <x:tableColumn id="4" name="Protocol differenc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e19d4ea88e4033" /></Relationships>
</file>

<file path=xl/worksheets/_rels/sheet2.xml.rels>&#65279;<?xml version="1.0" encoding="utf-8"?><Relationships xmlns="http://schemas.openxmlformats.org/package/2006/relationships"><Relationship Type="http://schemas.openxmlformats.org/officeDocument/2006/relationships/table" Target="/xl/tables/table2.xml" Id="R908bd9e642454353" /></Relationships>
</file>

<file path=xl/worksheets/_rels/sheet3.xml.rels>&#65279;<?xml version="1.0" encoding="utf-8"?><Relationships xmlns="http://schemas.openxmlformats.org/package/2006/relationships"><Relationship Type="http://schemas.openxmlformats.org/officeDocument/2006/relationships/table" Target="/xl/tables/table3.xml" Id="Rae88f2442ef1479c" /></Relationships>
</file>

<file path=xl/worksheets/_rels/sheet4.xml.rels>&#65279;<?xml version="1.0" encoding="utf-8"?><Relationships xmlns="http://schemas.openxmlformats.org/package/2006/relationships"><Relationship Type="http://schemas.openxmlformats.org/officeDocument/2006/relationships/table" Target="/xl/tables/table4.xml" Id="R636609f7488a49d3" /></Relationships>
</file>

<file path=xl/worksheets/_rels/sheet5.xml.rels>&#65279;<?xml version="1.0" encoding="utf-8"?><Relationships xmlns="http://schemas.openxmlformats.org/package/2006/relationships"><Relationship Type="http://schemas.openxmlformats.org/officeDocument/2006/relationships/table" Target="/xl/tables/table5.xml" Id="Rd39406771c064e37" /></Relationships>
</file>

<file path=xl/worksheets/_rels/sheet6.xml.rels>&#65279;<?xml version="1.0" encoding="utf-8"?><Relationships xmlns="http://schemas.openxmlformats.org/package/2006/relationships"><Relationship Type="http://schemas.openxmlformats.org/officeDocument/2006/relationships/table" Target="/xl/tables/table6.xml" Id="Rd03d7c5877a9490d" /></Relationships>
</file>

<file path=xl/worksheets/_rels/sheet7.xml.rels>&#65279;<?xml version="1.0" encoding="utf-8"?><Relationships xmlns="http://schemas.openxmlformats.org/package/2006/relationships"><Relationship Type="http://schemas.openxmlformats.org/officeDocument/2006/relationships/table" Target="/xl/tables/table7.xml" Id="Ra0838ed74172494d" /></Relationships>
</file>

<file path=xl/worksheets/_rels/sheet8.xml.rels>&#65279;<?xml version="1.0" encoding="utf-8"?><Relationships xmlns="http://schemas.openxmlformats.org/package/2006/relationships"><Relationship Type="http://schemas.openxmlformats.org/officeDocument/2006/relationships/table" Target="/xl/tables/table8.xml" Id="Rdbfb02d782f64ee9" /></Relationships>
</file>

<file path=xl/worksheets/_rels/sheet9.xml.rels>&#65279;<?xml version="1.0" encoding="utf-8"?><Relationships xmlns="http://schemas.openxmlformats.org/package/2006/relationships"><Relationship Type="http://schemas.openxmlformats.org/officeDocument/2006/relationships/table" Target="/xl/tables/table9.xml" Id="R31180dbc75354696" /></Relationships>
</file>

<file path=xl/worksheets/_rels/sheet10.xml.rels>&#65279;<?xml version="1.0" encoding="utf-8"?><Relationships xmlns="http://schemas.openxmlformats.org/package/2006/relationships"><Relationship Type="http://schemas.openxmlformats.org/officeDocument/2006/relationships/table" Target="/xl/tables/table10.xml" Id="R95456bc986e94f2b" /></Relationships>
</file>

<file path=xl/worksheets/_rels/sheet11.xml.rels>&#65279;<?xml version="1.0" encoding="utf-8"?><Relationships xmlns="http://schemas.openxmlformats.org/package/2006/relationships"><Relationship Type="http://schemas.openxmlformats.org/officeDocument/2006/relationships/table" Target="/xl/tables/table11.xml" Id="R9313cf64ac494057" /></Relationships>
</file>

<file path=xl/worksheets/_rels/sheet12.xml.rels>&#65279;<?xml version="1.0" encoding="utf-8"?><Relationships xmlns="http://schemas.openxmlformats.org/package/2006/relationships"><Relationship Type="http://schemas.openxmlformats.org/officeDocument/2006/relationships/table" Target="/xl/tables/table12.xml" Id="R36263e179c70415e" /></Relationships>
</file>

<file path=xl/worksheets/_rels/sheet13.xml.rels>&#65279;<?xml version="1.0" encoding="utf-8"?><Relationships xmlns="http://schemas.openxmlformats.org/package/2006/relationships"><Relationship Type="http://schemas.openxmlformats.org/officeDocument/2006/relationships/table" Target="/xl/tables/table13.xml" Id="Rd274a6ea8ab245d5" /></Relationships>
</file>

<file path=xl/worksheets/_rels/sheet14.xml.rels>&#65279;<?xml version="1.0" encoding="utf-8"?><Relationships xmlns="http://schemas.openxmlformats.org/package/2006/relationships"><Relationship Type="http://schemas.openxmlformats.org/officeDocument/2006/relationships/table" Target="/xl/tables/table14.xml" Id="R6896eef66f014dad" /></Relationships>
</file>

<file path=xl/worksheets/_rels/sheet15.xml.rels>&#65279;<?xml version="1.0" encoding="utf-8"?><Relationships xmlns="http://schemas.openxmlformats.org/package/2006/relationships"><Relationship Type="http://schemas.openxmlformats.org/officeDocument/2006/relationships/table" Target="/xl/tables/table15.xml" Id="R57ff94b354344aad" /></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9"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3" hidden="0" customWidth="1"/>
    <x:col min="11" max="11" width="15" hidden="0" customWidth="1"/>
    <x:col min="12" max="12" width="13" hidden="0" customWidth="1"/>
  </x:cols>
  <x:sheetData>
    <x:row r="1" ht="32" customHeight="1">
      <x:c r="A1" s="3" t="str">
        <x:v>TG-VGRAG benchmark results</x:v>
      </x:c>
      <x:c r="B1" s="2"/>
      <x:c r="C1" s="2"/>
      <x:c r="D1" s="2"/>
      <x:c r="E1" s="2"/>
      <x:c r="F1" s="2"/>
      <x:c r="G1" s="2"/>
      <x:c r="H1" s="2"/>
      <x:c r="I1" s="2"/>
      <x:c r="J1" s="2"/>
      <x:c r="K1" s="2"/>
      <x:c r="L1" s="2"/>
    </x:row>
    <x:row r="2" ht="22" customHeight="1">
      <x:c r="A2" s="5" t="str">
        <x:v>Generated 2026-09-08T03:24:53.098169+00:00. A: 20,142 questions, 19 variants. B/C/D: 19/19 complete. Scores /100; F1 and BEAM rubric mean are not percent correct. Compare B/C/D with A matched. C/D include 21 reversed validity intervals; see Hypothesis findings. BEAM 10M deferred.</x:v>
      </x:c>
      <x:c r="B2" s="5"/>
      <x:c r="C2" s="5"/>
      <x:c r="D2" s="5"/>
      <x:c r="E2" s="5"/>
      <x:c r="F2" s="5"/>
      <x:c r="G2" s="5"/>
      <x:c r="H2" s="5"/>
      <x:c r="I2" s="5"/>
      <x:c r="J2" s="5"/>
      <x:c r="K2" s="5"/>
      <x:c r="L2" s="5"/>
    </x:row>
    <x:row r="3" ht="22" customHeight="1">
      <x:c r="A3" s="5"/>
      <x:c r="B3" s="5"/>
      <x:c r="C3" s="5"/>
      <x:c r="D3" s="5"/>
      <x:c r="E3" s="5"/>
      <x:c r="F3" s="5"/>
      <x:c r="G3" s="5"/>
      <x:c r="H3" s="5"/>
      <x:c r="I3" s="5"/>
      <x:c r="J3" s="5"/>
      <x:c r="K3" s="5"/>
      <x:c r="L3" s="5"/>
    </x:row>
    <x:row r="4" ht="10" customHeight="1">
      <x:c r="A4" s="2"/>
      <x:c r="B4" s="2"/>
      <x:c r="C4" s="2"/>
      <x:c r="D4" s="2"/>
      <x:c r="E4" s="2"/>
      <x:c r="F4" s="2"/>
      <x:c r="G4" s="2"/>
      <x:c r="H4" s="2"/>
      <x:c r="I4" s="2"/>
      <x:c r="J4" s="2"/>
      <x:c r="K4" s="2"/>
      <x:c r="L4" s="2"/>
    </x:row>
    <x:row r="5" ht="48" customHeight="1">
      <x:c r="A5" s="8" t="str">
        <x:v>Test</x:v>
      </x:c>
      <x:c r="B5" s="8" t="str">
        <x:v>Metric</x:v>
      </x:c>
      <x:c r="C5" s="8" t="str">
        <x:v>A full N</x:v>
      </x:c>
      <x:c r="D5" s="8" t="str">
        <x:v>A full score</x:v>
      </x:c>
      <x:c r="E5" s="8" t="str">
        <x:v>Matched N</x:v>
      </x:c>
      <x:c r="F5" s="8" t="str">
        <x:v>A matched</x:v>
      </x:c>
      <x:c r="G5" s="8" t="str">
        <x:v>B</x:v>
      </x:c>
      <x:c r="H5" s="8" t="str">
        <x:v>C</x:v>
      </x:c>
      <x:c r="I5" s="8" t="str">
        <x:v>D</x:v>
      </x:c>
      <x:c r="J5" s="8" t="str">
        <x:v>D minus A</x:v>
      </x:c>
      <x:c r="K5" s="8" t="str">
        <x:v>Best matched</x:v>
      </x:c>
      <x:c r="L5" s="8" t="str">
        <x:v>BCD scope</x:v>
      </x:c>
    </x:row>
    <x:row r="6" ht="32" customHeight="1">
      <x:c r="A6" s="9" t="str">
        <x:v>LoCoMo</x:v>
      </x:c>
      <x:c r="B6" s="9" t="str">
        <x:v>Judge accuracy</x:v>
      </x:c>
      <x:c r="C6" s="11" t="n">
        <x:v>1540</x:v>
      </x:c>
      <x:c r="D6" s="12" t="n">
        <x:v>61.298701298701296</x:v>
      </x:c>
      <x:c r="E6" s="11" t="n">
        <x:v>77</x:v>
      </x:c>
      <x:c r="F6" s="15" t="n">
        <x:v>61.038961038961034</x:v>
      </x:c>
      <x:c r="G6" s="12" t="n">
        <x:v>54.54545454545454</x:v>
      </x:c>
      <x:c r="H6" s="12" t="n">
        <x:v>54.54545454545454</x:v>
      </x:c>
      <x:c r="I6" s="12" t="n">
        <x:v>55.84415584415584</x:v>
      </x:c>
      <x:c r="J6" s="13" t="n">
        <x:f>I6-F6</x:f>
        <x:v>-5.194805194805191</x:v>
      </x:c>
      <x:c r="K6" s="9" t="str">
        <x:v>A</x:v>
      </x:c>
      <x:c r="L6" s="9" t="str">
        <x:v>screen</x:v>
      </x:c>
    </x:row>
    <x:row r="7" ht="32" customHeight="1">
      <x:c r="A7" s="9" t="str">
        <x:v>LoCoMo adversarial</x:v>
      </x:c>
      <x:c r="B7" s="9" t="str">
        <x:v>Judge accuracy</x:v>
      </x:c>
      <x:c r="C7" s="11" t="n">
        <x:v>446</x:v>
      </x:c>
      <x:c r="D7" s="12" t="n">
        <x:v>87.89237668161435</x:v>
      </x:c>
      <x:c r="E7" s="11" t="n">
        <x:v>23</x:v>
      </x:c>
      <x:c r="F7" s="12" t="n">
        <x:v>91.30434782608695</x:v>
      </x:c>
      <x:c r="G7" s="15" t="n">
        <x:v>100</x:v>
      </x:c>
      <x:c r="H7" s="15" t="n">
        <x:v>100</x:v>
      </x:c>
      <x:c r="I7" s="12" t="n">
        <x:v>91.30434782608695</x:v>
      </x:c>
      <x:c r="J7" s="13" t="n">
        <x:f>I7-F7</x:f>
        <x:v>0</x:v>
      </x:c>
      <x:c r="K7" s="9" t="str">
        <x:v>B/C</x:v>
      </x:c>
      <x:c r="L7" s="9" t="str">
        <x:v>screen</x:v>
      </x:c>
    </x:row>
    <x:row r="8" ht="32" customHeight="1">
      <x:c r="A8" s="9" t="str">
        <x:v>MuSiQue</x:v>
      </x:c>
      <x:c r="B8" s="9" t="str">
        <x:v>F1</x:v>
      </x:c>
      <x:c r="C8" s="11" t="n">
        <x:v>1000</x:v>
      </x:c>
      <x:c r="D8" s="12" t="n">
        <x:v>48.66983214390207</x:v>
      </x:c>
      <x:c r="E8" s="11" t="n">
        <x:v>100</x:v>
      </x:c>
      <x:c r="F8" s="12" t="n">
        <x:v>53.01118326118326</x:v>
      </x:c>
      <x:c r="G8" s="12" t="n">
        <x:v>49.76228771228771</x:v>
      </x:c>
      <x:c r="H8" s="12" t="n">
        <x:v>49.86424849660144</x:v>
      </x:c>
      <x:c r="I8" s="15" t="n">
        <x:v>53.81680716943875</x:v>
      </x:c>
      <x:c r="J8" s="13" t="n">
        <x:f>I8-F8</x:f>
        <x:v>0.805623908255491</x:v>
      </x:c>
      <x:c r="K8" s="9" t="str">
        <x:v>D</x:v>
      </x:c>
      <x:c r="L8" s="9" t="str">
        <x:v>screen</x:v>
      </x:c>
    </x:row>
    <x:row r="9" ht="32" customHeight="1">
      <x:c r="A9" s="9" t="str">
        <x:v>2WikiMultiHopQA</x:v>
      </x:c>
      <x:c r="B9" s="9" t="str">
        <x:v>F1</x:v>
      </x:c>
      <x:c r="C9" s="11" t="n">
        <x:v>1000</x:v>
      </x:c>
      <x:c r="D9" s="12" t="n">
        <x:v>65.72217736542484</x:v>
      </x:c>
      <x:c r="E9" s="11" t="n">
        <x:v>100</x:v>
      </x:c>
      <x:c r="F9" s="12" t="n">
        <x:v>57.183264476359106</x:v>
      </x:c>
      <x:c r="G9" s="12" t="n">
        <x:v>58.05641025641025</x:v>
      </x:c>
      <x:c r="H9" s="15" t="n">
        <x:v>60.889743589743595</x:v>
      </x:c>
      <x:c r="I9" s="12" t="n">
        <x:v>55.406410256410254</x:v>
      </x:c>
      <x:c r="J9" s="13" t="n">
        <x:f>I9-F9</x:f>
        <x:v>-1.7768542199488522</x:v>
      </x:c>
      <x:c r="K9" s="9" t="str">
        <x:v>C</x:v>
      </x:c>
      <x:c r="L9" s="9" t="str">
        <x:v>screen</x:v>
      </x:c>
    </x:row>
    <x:row r="10" ht="32" customHeight="1">
      <x:c r="A10" s="9" t="str">
        <x:v>LongMemEval S</x:v>
      </x:c>
      <x:c r="B10" s="9" t="str">
        <x:v>Judge accuracy</x:v>
      </x:c>
      <x:c r="C10" s="11" t="n">
        <x:v>500</x:v>
      </x:c>
      <x:c r="D10" s="12" t="n">
        <x:v>78.2</x:v>
      </x:c>
      <x:c r="E10" s="11" t="n">
        <x:v>100</x:v>
      </x:c>
      <x:c r="F10" s="12" t="n">
        <x:v>72</x:v>
      </x:c>
      <x:c r="G10" s="15" t="n">
        <x:v>75</x:v>
      </x:c>
      <x:c r="H10" s="12" t="n">
        <x:v>74</x:v>
      </x:c>
      <x:c r="I10" s="15" t="n">
        <x:v>75</x:v>
      </x:c>
      <x:c r="J10" s="13" t="n">
        <x:f>I10-F10</x:f>
        <x:v>3</x:v>
      </x:c>
      <x:c r="K10" s="9" t="str">
        <x:v>B/D</x:v>
      </x:c>
      <x:c r="L10" s="9" t="str">
        <x:v>screen</x:v>
      </x:c>
    </x:row>
    <x:row r="11" ht="32" customHeight="1">
      <x:c r="A11" s="9" t="str">
        <x:v>LongMemEval oracle</x:v>
      </x:c>
      <x:c r="B11" s="9" t="str">
        <x:v>Judge accuracy</x:v>
      </x:c>
      <x:c r="C11" s="11" t="n">
        <x:v>500</x:v>
      </x:c>
      <x:c r="D11" s="12" t="n">
        <x:v>80</x:v>
      </x:c>
      <x:c r="E11" s="11" t="n">
        <x:v>100</x:v>
      </x:c>
      <x:c r="F11" s="12" t="n">
        <x:v>76</x:v>
      </x:c>
      <x:c r="G11" s="12" t="n">
        <x:v>74</x:v>
      </x:c>
      <x:c r="H11" s="15" t="n">
        <x:v>80</x:v>
      </x:c>
      <x:c r="I11" s="12" t="n">
        <x:v>76</x:v>
      </x:c>
      <x:c r="J11" s="13" t="n">
        <x:f>I11-F11</x:f>
        <x:v>0</x:v>
      </x:c>
      <x:c r="K11" s="9" t="str">
        <x:v>C</x:v>
      </x:c>
      <x:c r="L11" s="9" t="str">
        <x:v>screen</x:v>
      </x:c>
    </x:row>
    <x:row r="12" ht="32" customHeight="1">
      <x:c r="A12" s="9" t="str">
        <x:v>MultiHop-RAG</x:v>
      </x:c>
      <x:c r="B12" s="9" t="str">
        <x:v>Judge accuracy</x:v>
      </x:c>
      <x:c r="C12" s="11" t="n">
        <x:v>2556</x:v>
      </x:c>
      <x:c r="D12" s="12" t="n">
        <x:v>49.53051643192488</x:v>
      </x:c>
      <x:c r="E12" s="11" t="n">
        <x:v>100</x:v>
      </x:c>
      <x:c r="F12" s="12" t="n">
        <x:v>53</x:v>
      </x:c>
      <x:c r="G12" s="12" t="n">
        <x:v>54</x:v>
      </x:c>
      <x:c r="H12" s="12" t="n">
        <x:v>56.00000000000001</x:v>
      </x:c>
      <x:c r="I12" s="15" t="n">
        <x:v>56.99999999999999</x:v>
      </x:c>
      <x:c r="J12" s="13" t="n">
        <x:f>I12-F12</x:f>
        <x:v>3.999999999999993</x:v>
      </x:c>
      <x:c r="K12" s="9" t="str">
        <x:v>D</x:v>
      </x:c>
      <x:c r="L12" s="9" t="str">
        <x:v>screen</x:v>
      </x:c>
    </x:row>
    <x:row r="13" ht="32" customHeight="1">
      <x:c r="A13" s="9" t="str">
        <x:v>FactConsolidation SH 6K</x:v>
      </x:c>
      <x:c r="B13" s="9" t="str">
        <x:v>Substring EM</x:v>
      </x:c>
      <x:c r="C13" s="11" t="n">
        <x:v>100</x:v>
      </x:c>
      <x:c r="D13" s="12" t="n">
        <x:v>100</x:v>
      </x:c>
      <x:c r="E13" s="11" t="n">
        <x:v>100</x:v>
      </x:c>
      <x:c r="F13" s="15" t="n">
        <x:v>100</x:v>
      </x:c>
      <x:c r="G13" s="12" t="n">
        <x:v>87</x:v>
      </x:c>
      <x:c r="H13" s="12" t="n">
        <x:v>84</x:v>
      </x:c>
      <x:c r="I13" s="12" t="n">
        <x:v>86</x:v>
      </x:c>
      <x:c r="J13" s="13" t="n">
        <x:f>I13-F13</x:f>
        <x:v>-14</x:v>
      </x:c>
      <x:c r="K13" s="9" t="str">
        <x:v>A</x:v>
      </x:c>
      <x:c r="L13" s="9" t="str">
        <x:v>full</x:v>
      </x:c>
    </x:row>
    <x:row r="14" ht="32" customHeight="1">
      <x:c r="A14" s="9" t="str">
        <x:v>FactConsolidation MH 6K</x:v>
      </x:c>
      <x:c r="B14" s="9" t="str">
        <x:v>Substring EM</x:v>
      </x:c>
      <x:c r="C14" s="11" t="n">
        <x:v>100</x:v>
      </x:c>
      <x:c r="D14" s="12" t="n">
        <x:v>60</x:v>
      </x:c>
      <x:c r="E14" s="11" t="n">
        <x:v>100</x:v>
      </x:c>
      <x:c r="F14" s="15" t="n">
        <x:v>60</x:v>
      </x:c>
      <x:c r="G14" s="12" t="n">
        <x:v>56.99999999999999</x:v>
      </x:c>
      <x:c r="H14" s="12" t="n">
        <x:v>55.00000000000001</x:v>
      </x:c>
      <x:c r="I14" s="12" t="n">
        <x:v>59</x:v>
      </x:c>
      <x:c r="J14" s="13" t="n">
        <x:f>I14-F14</x:f>
        <x:v>-1</x:v>
      </x:c>
      <x:c r="K14" s="9" t="str">
        <x:v>A</x:v>
      </x:c>
      <x:c r="L14" s="9" t="str">
        <x:v>full</x:v>
      </x:c>
    </x:row>
    <x:row r="15" ht="32" customHeight="1">
      <x:c r="A15" s="9" t="str">
        <x:v>FactConsolidation SH 32K</x:v>
      </x:c>
      <x:c r="B15" s="9" t="str">
        <x:v>Substring EM</x:v>
      </x:c>
      <x:c r="C15" s="11" t="n">
        <x:v>100</x:v>
      </x:c>
      <x:c r="D15" s="12" t="n">
        <x:v>92</x:v>
      </x:c>
      <x:c r="E15" s="11" t="n">
        <x:v>100</x:v>
      </x:c>
      <x:c r="F15" s="15" t="n">
        <x:v>92</x:v>
      </x:c>
      <x:c r="G15" s="15" t="n">
        <x:v>92</x:v>
      </x:c>
      <x:c r="H15" s="12" t="n">
        <x:v>79</x:v>
      </x:c>
      <x:c r="I15" s="12" t="n">
        <x:v>91</x:v>
      </x:c>
      <x:c r="J15" s="13" t="n">
        <x:f>I15-F15</x:f>
        <x:v>-1</x:v>
      </x:c>
      <x:c r="K15" s="9" t="str">
        <x:v>A/B</x:v>
      </x:c>
      <x:c r="L15" s="9" t="str">
        <x:v>full</x:v>
      </x:c>
    </x:row>
    <x:row r="16" ht="32" customHeight="1">
      <x:c r="A16" s="9" t="str">
        <x:v>FactConsolidation MH 32K</x:v>
      </x:c>
      <x:c r="B16" s="9" t="str">
        <x:v>Substring EM</x:v>
      </x:c>
      <x:c r="C16" s="11" t="n">
        <x:v>100</x:v>
      </x:c>
      <x:c r="D16" s="12" t="n">
        <x:v>17</x:v>
      </x:c>
      <x:c r="E16" s="11" t="n">
        <x:v>100</x:v>
      </x:c>
      <x:c r="F16" s="12" t="n">
        <x:v>17</x:v>
      </x:c>
      <x:c r="G16" s="12" t="n">
        <x:v>18</x:v>
      </x:c>
      <x:c r="H16" s="12" t="n">
        <x:v>8</x:v>
      </x:c>
      <x:c r="I16" s="15" t="n">
        <x:v>25</x:v>
      </x:c>
      <x:c r="J16" s="13" t="n">
        <x:f>I16-F16</x:f>
        <x:v>8</x:v>
      </x:c>
      <x:c r="K16" s="9" t="str">
        <x:v>D</x:v>
      </x:c>
      <x:c r="L16" s="9" t="str">
        <x:v>full</x:v>
      </x:c>
    </x:row>
    <x:row r="17" ht="32" customHeight="1">
      <x:c r="A17" s="9" t="str">
        <x:v>FactConsolidation SH 64K</x:v>
      </x:c>
      <x:c r="B17" s="9" t="str">
        <x:v>Substring EM</x:v>
      </x:c>
      <x:c r="C17" s="11" t="n">
        <x:v>100</x:v>
      </x:c>
      <x:c r="D17" s="12" t="n">
        <x:v>86</x:v>
      </x:c>
      <x:c r="E17" s="11" t="n">
        <x:v>100</x:v>
      </x:c>
      <x:c r="F17" s="12" t="n">
        <x:v>86</x:v>
      </x:c>
      <x:c r="G17" s="15" t="n">
        <x:v>90</x:v>
      </x:c>
      <x:c r="H17" s="12" t="n">
        <x:v>74</x:v>
      </x:c>
      <x:c r="I17" s="15" t="n">
        <x:v>90</x:v>
      </x:c>
      <x:c r="J17" s="13" t="n">
        <x:f>I17-F17</x:f>
        <x:v>4</x:v>
      </x:c>
      <x:c r="K17" s="9" t="str">
        <x:v>B/D</x:v>
      </x:c>
      <x:c r="L17" s="9" t="str">
        <x:v>full</x:v>
      </x:c>
    </x:row>
    <x:row r="18" ht="32" customHeight="1">
      <x:c r="A18" s="9" t="str">
        <x:v>FactConsolidation MH 64K</x:v>
      </x:c>
      <x:c r="B18" s="9" t="str">
        <x:v>Substring EM</x:v>
      </x:c>
      <x:c r="C18" s="11" t="n">
        <x:v>100</x:v>
      </x:c>
      <x:c r="D18" s="12" t="n">
        <x:v>15</x:v>
      </x:c>
      <x:c r="E18" s="11" t="n">
        <x:v>100</x:v>
      </x:c>
      <x:c r="F18" s="12" t="n">
        <x:v>15</x:v>
      </x:c>
      <x:c r="G18" s="15" t="n">
        <x:v>16</x:v>
      </x:c>
      <x:c r="H18" s="12" t="n">
        <x:v>15</x:v>
      </x:c>
      <x:c r="I18" s="15" t="n">
        <x:v>16</x:v>
      </x:c>
      <x:c r="J18" s="13" t="n">
        <x:f>I18-F18</x:f>
        <x:v>1</x:v>
      </x:c>
      <x:c r="K18" s="9" t="str">
        <x:v>B/D</x:v>
      </x:c>
      <x:c r="L18" s="9" t="str">
        <x:v>full</x:v>
      </x:c>
    </x:row>
    <x:row r="19" ht="32" customHeight="1">
      <x:c r="A19" s="9" t="str">
        <x:v>FactConsolidation SH 262K</x:v>
      </x:c>
      <x:c r="B19" s="9" t="str">
        <x:v>Substring EM</x:v>
      </x:c>
      <x:c r="C19" s="11" t="n">
        <x:v>100</x:v>
      </x:c>
      <x:c r="D19" s="12" t="n">
        <x:v>74</x:v>
      </x:c>
      <x:c r="E19" s="11" t="n">
        <x:v>100</x:v>
      </x:c>
      <x:c r="F19" s="12" t="n">
        <x:v>74</x:v>
      </x:c>
      <x:c r="G19" s="15" t="n">
        <x:v>79</x:v>
      </x:c>
      <x:c r="H19" s="12" t="n">
        <x:v>60</x:v>
      </x:c>
      <x:c r="I19" s="12" t="n">
        <x:v>69</x:v>
      </x:c>
      <x:c r="J19" s="13" t="n">
        <x:f>I19-F19</x:f>
        <x:v>-5</x:v>
      </x:c>
      <x:c r="K19" s="9" t="str">
        <x:v>B</x:v>
      </x:c>
      <x:c r="L19" s="9" t="str">
        <x:v>full</x:v>
      </x:c>
    </x:row>
    <x:row r="20" ht="32" customHeight="1">
      <x:c r="A20" s="9" t="str">
        <x:v>FactConsolidation MH 262K</x:v>
      </x:c>
      <x:c r="B20" s="9" t="str">
        <x:v>Substring EM</x:v>
      </x:c>
      <x:c r="C20" s="11" t="n">
        <x:v>100</x:v>
      </x:c>
      <x:c r="D20" s="12" t="n">
        <x:v>9</x:v>
      </x:c>
      <x:c r="E20" s="11" t="n">
        <x:v>100</x:v>
      </x:c>
      <x:c r="F20" s="15" t="n">
        <x:v>9</x:v>
      </x:c>
      <x:c r="G20" s="12" t="n">
        <x:v>8</x:v>
      </x:c>
      <x:c r="H20" s="12" t="n">
        <x:v>8</x:v>
      </x:c>
      <x:c r="I20" s="12" t="n">
        <x:v>8</x:v>
      </x:c>
      <x:c r="J20" s="13" t="n">
        <x:f>I20-F20</x:f>
        <x:v>-1</x:v>
      </x:c>
      <x:c r="K20" s="9" t="str">
        <x:v>A</x:v>
      </x:c>
      <x:c r="L20" s="9" t="str">
        <x:v>full</x:v>
      </x:c>
    </x:row>
    <x:row r="21" ht="32" customHeight="1">
      <x:c r="A21" s="9" t="str">
        <x:v>PersonaMem v2 32K</x:v>
      </x:c>
      <x:c r="B21" s="9" t="str">
        <x:v>MCQ accuracy</x:v>
      </x:c>
      <x:c r="C21" s="11" t="n">
        <x:v>5000</x:v>
      </x:c>
      <x:c r="D21" s="12" t="n">
        <x:v>44.9</x:v>
      </x:c>
      <x:c r="E21" s="11" t="n">
        <x:v>100</x:v>
      </x:c>
      <x:c r="F21" s="12" t="n">
        <x:v>45</x:v>
      </x:c>
      <x:c r="G21" s="15" t="n">
        <x:v>50</x:v>
      </x:c>
      <x:c r="H21" s="15" t="n">
        <x:v>50</x:v>
      </x:c>
      <x:c r="I21" s="12" t="n">
        <x:v>44</x:v>
      </x:c>
      <x:c r="J21" s="13" t="n">
        <x:f>I21-F21</x:f>
        <x:v>-1</x:v>
      </x:c>
      <x:c r="K21" s="9" t="str">
        <x:v>B/C</x:v>
      </x:c>
      <x:c r="L21" s="9" t="str">
        <x:v>screen</x:v>
      </x:c>
    </x:row>
    <x:row r="22" ht="32" customHeight="1">
      <x:c r="A22" s="9" t="str">
        <x:v>PersonaMem v2 128K</x:v>
      </x:c>
      <x:c r="B22" s="9" t="str">
        <x:v>MCQ accuracy</x:v>
      </x:c>
      <x:c r="C22" s="11" t="n">
        <x:v>5000</x:v>
      </x:c>
      <x:c r="D22" s="12" t="n">
        <x:v>42.04</x:v>
      </x:c>
      <x:c r="E22" s="11" t="n">
        <x:v>100</x:v>
      </x:c>
      <x:c r="F22" s="12" t="n">
        <x:v>41</x:v>
      </x:c>
      <x:c r="G22" s="12" t="n">
        <x:v>40</x:v>
      </x:c>
      <x:c r="H22" s="12" t="n">
        <x:v>39</x:v>
      </x:c>
      <x:c r="I22" s="15" t="n">
        <x:v>42</x:v>
      </x:c>
      <x:c r="J22" s="13" t="n">
        <x:f>I22-F22</x:f>
        <x:v>1</x:v>
      </x:c>
      <x:c r="K22" s="9" t="str">
        <x:v>D</x:v>
      </x:c>
      <x:c r="L22" s="9" t="str">
        <x:v>screen</x:v>
      </x:c>
    </x:row>
    <x:row r="23" ht="32" customHeight="1">
      <x:c r="A23" s="9" t="str">
        <x:v>BEAM 100K</x:v>
      </x:c>
      <x:c r="B23" s="9" t="str">
        <x:v>Rubric mean</x:v>
      </x:c>
      <x:c r="C23" s="11" t="n">
        <x:v>400</x:v>
      </x:c>
      <x:c r="D23" s="12" t="n">
        <x:v>36.401339285714286</x:v>
      </x:c>
      <x:c r="E23" s="11" t="n">
        <x:v>100</x:v>
      </x:c>
      <x:c r="F23" s="15" t="n">
        <x:v>39.020833333333336</x:v>
      </x:c>
      <x:c r="G23" s="12" t="n">
        <x:v>37.97083333333333</x:v>
      </x:c>
      <x:c r="H23" s="12" t="n">
        <x:v>37.09583333333333</x:v>
      </x:c>
      <x:c r="I23" s="12" t="n">
        <x:v>38.1</x:v>
      </x:c>
      <x:c r="J23" s="13" t="n">
        <x:f>I23-F23</x:f>
        <x:v>-0.9208333333333343</x:v>
      </x:c>
      <x:c r="K23" s="9" t="str">
        <x:v>A</x:v>
      </x:c>
      <x:c r="L23" s="9" t="str">
        <x:v>screen</x:v>
      </x:c>
    </x:row>
    <x:row r="24" ht="32" customHeight="1">
      <x:c r="A24" s="9" t="str">
        <x:v>BEAM 500K</x:v>
      </x:c>
      <x:c r="B24" s="9" t="str">
        <x:v>Rubric mean</x:v>
      </x:c>
      <x:c r="C24" s="11" t="n">
        <x:v>700</x:v>
      </x:c>
      <x:c r="D24" s="12" t="n">
        <x:v>31.17819858712716</x:v>
      </x:c>
      <x:c r="E24" s="11" t="n">
        <x:v>100</x:v>
      </x:c>
      <x:c r="F24" s="12" t="n">
        <x:v>26.766666666666666</x:v>
      </x:c>
      <x:c r="G24" s="12" t="n">
        <x:v>24.712500000000002</x:v>
      </x:c>
      <x:c r="H24" s="12" t="n">
        <x:v>24.125</x:v>
      </x:c>
      <x:c r="I24" s="15" t="n">
        <x:v>27.391666666666666</x:v>
      </x:c>
      <x:c r="J24" s="13" t="n">
        <x:f>I24-F24</x:f>
        <x:v>0.625</x:v>
      </x:c>
      <x:c r="K24" s="9" t="str">
        <x:v>D</x:v>
      </x:c>
      <x:c r="L24" s="9" t="str">
        <x:v>screen</x:v>
      </x:c>
    </x:row>
    <x:row r="25" ht="32" customHeight="1">
      <x:c r="A25" s="9" t="str">
        <x:v>BEAM 1M</x:v>
      </x:c>
      <x:c r="B25" s="9" t="str">
        <x:v>Rubric mean</x:v>
      </x:c>
      <x:c r="C25" s="11" t="n">
        <x:v>700</x:v>
      </x:c>
      <x:c r="D25" s="12" t="n">
        <x:v>31.69187023294166</x:v>
      </x:c>
      <x:c r="E25" s="11" t="n">
        <x:v>100</x:v>
      </x:c>
      <x:c r="F25" s="12" t="n">
        <x:v>26.666666666666668</x:v>
      </x:c>
      <x:c r="G25" s="12" t="n">
        <x:v>27.569444444444446</x:v>
      </x:c>
      <x:c r="H25" s="12" t="n">
        <x:v>28.075</x:v>
      </x:c>
      <x:c r="I25" s="15" t="n">
        <x:v>28.975</x:v>
      </x:c>
      <x:c r="J25" s="13" t="n">
        <x:f>I25-F25</x:f>
        <x:v>2.3083333333333336</x:v>
      </x:c>
      <x:c r="K25" s="9" t="str">
        <x:v>D</x:v>
      </x:c>
      <x:c r="L25" s="9" t="str">
        <x:v>screen</x:v>
      </x:c>
    </x:row>
  </x:sheetData>
  <x:mergeCells>
    <x:mergeCell ref="A2:L3"/>
  </x:mergeCells>
  <x:conditionalFormatting sqref="J6:J25">
    <x:cfRule type="cellIs" dxfId="0" priority="1" operator="lessThan">
      <x:formula>0</x:formula>
    </x:cfRule>
  </x:conditionalFormatting>
  <x:pageMargins left="0.7" right="0.7" top="0.75" bottom="0.75" header="0.3" footer="0.3"/>
  <x:tableParts count="1">
    <x:tablePart xmlns:r="http://schemas.openxmlformats.org/officeDocument/2006/relationships" r:id="R40e19d4ea88e4033"/>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100" hidden="0" customWidth="1"/>
    <x:col min="3" max="3" width="85" hidden="0" customWidth="1"/>
  </x:cols>
  <x:sheetData>
    <x:row r="1" ht="32" customHeight="1">
      <x:c r="A1" s="3" t="str">
        <x:v>Controlled variables</x:v>
      </x:c>
      <x:c r="B1" s="2"/>
      <x:c r="C1" s="2"/>
    </x:row>
    <x:row r="2" ht="22" customHeight="1">
      <x:c r="A2" s="5" t="str">
        <x:v>A is the baseline. B adds cached facts, C adds temporal validity, D adds graph ranking. Source: VERSION-BCD.md and frozen run.json.</x:v>
      </x:c>
      <x:c r="B2" s="5"/>
      <x:c r="C2" s="5"/>
    </x:row>
    <x:row r="3" ht="22" customHeight="1">
      <x:c r="A3" s="5"/>
      <x:c r="B3" s="5"/>
      <x:c r="C3" s="5"/>
    </x:row>
    <x:row r="4" ht="10" customHeight="1">
      <x:c r="A4" s="2"/>
      <x:c r="B4" s="2"/>
      <x:c r="C4" s="2"/>
    </x:row>
    <x:row r="5" ht="48" customHeight="1">
      <x:c r="A5" s="8" t="str">
        <x:v>Variable</x:v>
      </x:c>
      <x:c r="B5" s="8" t="str">
        <x:v>Setting</x:v>
      </x:c>
      <x:c r="C5" s="8" t="str">
        <x:v>Purpose</x:v>
      </x:c>
    </x:row>
    <x:row r="6" ht="44" customHeight="1">
      <x:c r="A6" s="9" t="str">
        <x:v>Arm A</x:v>
      </x:c>
      <x:c r="B6" s="9" t="str">
        <x:v>BM25 + local MiniLM dense retrieval; raw source evidence</x:v>
      </x:c>
      <x:c r="C6" s="9" t="str">
        <x:v>Zero ingestion LLM calls; baseline</x:v>
      </x:c>
    </x:row>
    <x:row r="7" ht="44" customHeight="1">
      <x:c r="A7" s="9" t="str">
        <x:v>Arm B</x:v>
      </x:c>
      <x:c r="B7" s="9" t="str">
        <x:v>A + cached facts from detected source text</x:v>
      </x:c>
      <x:c r="C7" s="9" t="str">
        <x:v>Test whether fact compression improves evidence per token</x:v>
      </x:c>
    </x:row>
    <x:row r="8" ht="44" customHeight="1">
      <x:c r="A8" s="9" t="str">
        <x:v>Arm C</x:v>
      </x:c>
      <x:c r="B8" s="9" t="str">
        <x:v>B + validity intervals, supersession and source replacement</x:v>
      </x:c>
      <x:c r="C8" s="9" t="str">
        <x:v>Test whether handling changed facts reduces stale answers</x:v>
      </x:c>
    </x:row>
    <x:row r="9" ht="44" customHeight="1">
      <x:c r="A9" s="9" t="str">
        <x:v>Arm D</x:v>
      </x:c>
      <x:c r="B9" s="9" t="str">
        <x:v>C + topic index, community index and relation traversal</x:v>
      </x:c>
      <x:c r="C9" s="9" t="str">
        <x:v>Test whether graph links improve evidence ranking</x:v>
      </x:c>
    </x:row>
    <x:row r="10" ht="44" customHeight="1">
      <x:c r="A10" s="9" t="str">
        <x:v>Reader / provider</x:v>
      </x:c>
      <x:c r="B10" s="9" t="str">
        <x:v>Gemini 3.6 Flash / Google Vertex AI</x:v>
      </x:c>
      <x:c r="C10" s="9" t="str">
        <x:v>Same reader across every arm</x:v>
      </x:c>
    </x:row>
    <x:row r="11" ht="44" customHeight="1">
      <x:c r="A11" s="9" t="str">
        <x:v>Judge / extractor</x:v>
      </x:c>
      <x:c r="B11" s="9" t="str">
        <x:v>Gemini 2.5 Flash Lite / Google Vertex AI</x:v>
      </x:c>
      <x:c r="C11" s="9" t="str">
        <x:v>Judging only where required; B/C/D fact extraction</x:v>
      </x:c>
    </x:row>
    <x:row r="12" ht="44" customHeight="1">
      <x:c r="A12" s="9" t="str">
        <x:v>Evidence budget</x:v>
      </x:c>
      <x:c r="B12" s="9" t="str">
        <x:v>4,000 MiniLM WordPiece tokens including source labels</x:v>
      </x:c>
      <x:c r="C12" s="9" t="str">
        <x:v>Same reader evidence allowance; nominal corpus size is separate</x:v>
      </x:c>
    </x:row>
    <x:row r="13" ht="44" customHeight="1">
      <x:c r="A13" s="9" t="str">
        <x:v>Answer allowance</x:v>
      </x:c>
      <x:c r="B13" s="9" t="str">
        <x:v>768 provider output tokens; includes hidden reasoning</x:v>
      </x:c>
      <x:c r="C13" s="9" t="str">
        <x:v>Empty answers score zero; no quality retries</x:v>
      </x:c>
    </x:row>
    <x:row r="14" ht="44" customHeight="1">
      <x:c r="A14" s="9" t="str">
        <x:v>Judge allowance</x:v>
      </x:c>
      <x:c r="B14" s="9" t="str">
        <x:v>64 output tokens; BEAM rubric 512</x:v>
      </x:c>
      <x:c r="C14" s="9" t="str">
        <x:v>Preserve dataset-specific metric</x:v>
      </x:c>
    </x:row>
    <x:row r="15" ht="44" customHeight="1">
      <x:c r="A15" s="9" t="str">
        <x:v>A retrieval</x:v>
      </x:c>
      <x:c r="B15" s="9" t="str">
        <x:v>BM25 + all-MiniLM-L6-v2; equal RRF weights; k=60; top 100/channel</x:v>
      </x:c>
      <x:c r="C15" s="9" t="str">
        <x:v>Local lexical and embedding search</x:v>
      </x:c>
    </x:row>
    <x:row r="16" ht="44" customHeight="1">
      <x:c r="A16" s="9" t="str">
        <x:v>Dense windows</x:v>
      </x:c>
      <x:c r="B16" s="9" t="str">
        <x:v>200 tokens, overlap 30; max window score folded to parent source</x:v>
      </x:c>
      <x:c r="C16" s="9" t="str">
        <x:v>Long source units remain retrievable</x:v>
      </x:c>
    </x:row>
    <x:row r="17" ht="44" customHeight="1">
      <x:c r="A17" s="9" t="str">
        <x:v>Sample</x:v>
      </x:c>
      <x:c r="B17" s="9" t="str">
        <x:v>100 questions/dataset; proportional type strata; seed 13</x:v>
      </x:c>
      <x:c r="C17" s="9" t="str">
        <x:v>Same IDs in A/B/C/D; all 100-question MAB variants are full</x:v>
      </x:c>
    </x:row>
    <x:row r="18" ht="44" customHeight="1">
      <x:c r="A18" s="9" t="str">
        <x:v>B detection</x:v>
      </x:c>
      <x:c r="B18" s="9" t="str">
        <x:v>Up to 8 units from first 30 A ranks; at most 12 fixed 500-token pieces/query</x:v>
      </x:c>
      <x:c r="C18" s="9" t="str">
        <x:v>Bound extraction cost; not exhaustive fact coverage</x:v>
      </x:c>
    </x:row>
    <x:row r="19" ht="44" customHeight="1">
      <x:c r="A19" s="9" t="str">
        <x:v>B extraction</x:v>
      </x:c>
      <x:c r="B19" s="9" t="str">
        <x:v>At most 16 facts/piece; 2,048 output tokens; units over 1,000 tokens stay raw</x:v>
      </x:c>
      <x:c r="C19" s="9" t="str">
        <x:v>Quote/object grounding required; invalid output falls back to raw</x:v>
      </x:c>
    </x:row>
    <x:row r="20" ht="44" customHeight="1">
      <x:c r="A20" s="9" t="str">
        <x:v>Fact cache</x:v>
      </x:c>
      <x:c r="B20" s="9" t="str">
        <x:v>Key includes namespace, source piece, metadata, prompt and model parameters</x:v>
      </x:c>
      <x:c r="C20" s="9" t="str">
        <x:v>Reuse extraction across arms and questions; new protocol means new key</x:v>
      </x:c>
    </x:row>
    <x:row r="21" ht="44" customHeight="1">
      <x:c r="A21" s="9" t="str">
        <x:v>Memory state</x:v>
      </x:c>
      <x:c r="B21" s="9" t="str">
        <x:v>Discover all sampled queries' evidence per history before answering</x:v>
      </x:c>
      <x:c r="C21" s="9" t="str">
        <x:v>Warm shared memory; setup charged separately; not online cold-start replay</x:v>
      </x:c>
    </x:row>
    <x:row r="22" ht="44" customHeight="1">
      <x:c r="A22" s="9" t="str">
        <x:v>C supersession</x:v>
      </x:c>
      <x:c r="B22" s="9" t="str">
        <x:v>Matching subject/predicate/scope; exclusive state; strict date or benchmark serial</x:v>
      </x:c>
      <x:c r="C22" s="9" t="str">
        <x:v>Preserve history/events/multi-value facts; no guessed temporal order</x:v>
      </x:c>
    </x:row>
    <x:row r="23" ht="44" customHeight="1">
      <x:c r="A23" s="9" t="str">
        <x:v>D topics</x:v>
      </x:c>
      <x:c r="B23" s="9" t="str">
        <x:v>TF-IDF + MiniBatchKMeans, seed 13, up to 32 topics</x:v>
      </x:c>
      <x:c r="C23" s="9" t="str">
        <x:v>Local topic membership and separate inverted index</x:v>
      </x:c>
    </x:row>
    <x:row r="24" ht="44" customHeight="1">
      <x:c r="A24" s="9" t="str">
        <x:v>D communities</x:v>
      </x:c>
      <x:c r="B24" s="9" t="str">
        <x:v>Leiden on source projection with shared entities; filter entity hubs</x:v>
      </x:c>
      <x:c r="C24" s="9" t="str">
        <x:v>Local community membership and separate inverted index</x:v>
      </x:c>
    </x:row>
    <x:row r="25" ht="44" customHeight="1">
      <x:c r="A25" s="9" t="str">
        <x:v>D relationships</x:v>
      </x:c>
      <x:c r="B25" s="9" t="str">
        <x:v>Typed source/entity/fact nodes and edges; two-hop traversal</x:v>
      </x:c>
      <x:c r="C25" s="9" t="str">
        <x:v>Graph covers discovered evidence, not all corpus facts</x:v>
      </x:c>
    </x:row>
    <x:row r="26" ht="44" customHeight="1">
      <x:c r="A26" s="9" t="str">
        <x:v>D fusion weights</x:v>
      </x:c>
      <x:c r="B26" s="9" t="str">
        <x:v>Base 1.0; topic 0.2; community 0.2; relation 0.4; RRF k=60</x:v>
      </x:c>
      <x:c r="C26" s="9" t="str">
        <x:v>Fixed before screening; no evaluation-answer tuning</x:v>
      </x:c>
    </x:row>
    <x:row r="27" ht="44" customHeight="1">
      <x:c r="A27" s="9" t="str">
        <x:v>API price inputs</x:v>
      </x:c>
      <x:c r="B27" s="9" t="str">
        <x:v>Reader input/output $0.75/$3.75 per million; Lite $0.10/$0.40</x:v>
      </x:c>
      <x:c r="C27" s="9" t="str">
        <x:v>Recorded-token cost estimates; not a reconciled cloud invoice</x:v>
      </x:c>
    </x:row>
    <x:row r="28" ht="44" customHeight="1">
      <x:c r="A28" s="9" t="str">
        <x:v>Concurrency / caps</x:v>
      </x:c>
      <x:c r="B28" s="9" t="str">
        <x:v>16 QA workers; A cap $150; B/C/D shared cap $60; program cap $500</x:v>
      </x:c>
      <x:c r="C28" s="9" t="str">
        <x:v>Persistent reservation ledger before each request</x:v>
      </x:c>
    </x:row>
  </x:sheetData>
  <x:mergeCells>
    <x:mergeCell ref="A2:C3"/>
  </x:mergeCells>
  <x:pageMargins left="0.7" right="0.7" top="0.75" bottom="0.75" header="0.3" footer="0.3"/>
  <x:tableParts count="1">
    <x:tablePart xmlns:r="http://schemas.openxmlformats.org/officeDocument/2006/relationships" r:id="R908bd9e642454353"/>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3" hidden="0" customWidth="1"/>
    <x:col min="2" max="2" width="102" hidden="0" customWidth="1"/>
    <x:col min="3" max="3" width="105" hidden="0" customWidth="1"/>
  </x:cols>
  <x:sheetData>
    <x:row r="1" ht="32" customHeight="1">
      <x:c r="A1" s="3" t="str">
        <x:v>What the experiments establish</x:v>
      </x:c>
      <x:c r="B1" s="2"/>
      <x:c r="C1" s="2"/>
    </x:row>
    <x:row r="2" ht="22" customHeight="1">
      <x:c r="A2" s="5" t="str">
        <x:v>Measured changes use identical questions within each dataset. These are findings about this implementation; they do not establish industry superiority or independently validate each graph channel.</x:v>
      </x:c>
      <x:c r="B2" s="5"/>
      <x:c r="C2" s="5"/>
    </x:row>
    <x:row r="3" ht="22" customHeight="1">
      <x:c r="A3" s="5"/>
      <x:c r="B3" s="5"/>
      <x:c r="C3" s="5"/>
    </x:row>
    <x:row r="4" ht="10" customHeight="1">
      <x:c r="A4" s="2"/>
      <x:c r="B4" s="2"/>
      <x:c r="C4" s="2"/>
    </x:row>
    <x:row r="5" ht="48" customHeight="1">
      <x:c r="A5" s="8" t="str">
        <x:v>Hypothesis</x:v>
      </x:c>
      <x:c r="B5" s="8" t="str">
        <x:v>Observed result</x:v>
      </x:c>
      <x:c r="C5" s="8" t="str">
        <x:v>What it means</x:v>
      </x:c>
    </x:row>
    <x:row r="6" ht="88" customHeight="1">
      <x:c r="A6" s="9" t="str">
        <x:v>A: inexpensive indexing</x:v>
      </x:c>
      <x:c r="B6" s="9" t="str">
        <x:v>All 19 active variants indexed with zero ingestion LLM calls. Recorded local index/build-load duration totals 647.1 minutes across groups.</x:v>
      </x:c>
      <x:c r="C6" s="9" t="str">
        <x:v>The zero-ingestion-LLM design is implemented and measured. Indexing still needs local compute and storage. This run does not establish a vendor total-cost comparison.</x:v>
      </x:c>
    </x:row>
    <x:row r="7" ht="88" customHeight="1">
      <x:c r="A7" s="9" t="str">
        <x:v>B: lazy fact compression</x:v>
      </x:c>
      <x:c r="B7" s="9" t="str">
        <x:v>PersonaMem v2 32K: A 45.00 to B 50.00; LoCoMo: A 61.04 to B 54.55; FactConsolidation SH 6K: A 100.00 to B 87.00</x:v>
      </x:c>
      <x:c r="C7" s="9" t="str">
        <x:v>Mixed quality. B is useful on some tests, but bounded fact extraction can lose useful source information. The screen does not isolate which losses came from extraction versus evidence packing.</x:v>
      </x:c>
    </x:row>
    <x:row r="8" ht="88" customHeight="1">
      <x:c r="A8" s="9" t="str">
        <x:v>C: temporal validity</x:v>
      </x:c>
      <x:c r="B8" s="9" t="str">
        <x:v>FactConsolidation SH 262K: B 79.00 to C 60.00; FactConsolidation SH 64K: B 90.00 to C 74.00; LongMemEval oracle: B 74.00 to C 80.00</x:v>
      </x:c>
      <x:c r="C8" s="9" t="str">
        <x:v>The current temporal implementation does not consistently improve answers. It hurts all four single-hop FactConsolidation variants compared with B. Improvement in oracle cannot establish full-history retrieval gains.</x:v>
      </x:c>
    </x:row>
    <x:row r="9" ht="88" customHeight="1">
      <x:c r="A9" s="9" t="str">
        <x:v>C: actual invalidation coverage</x:v>
      </x:c>
      <x:c r="B9" s="9" t="str">
        <x:v>Only 20 stored facts are superseded outside FactConsolidation in prepared datasets. Both LongMemEval variants and both PersonaMem variants have zero.</x:v>
      </x:c>
      <x:c r="C9" s="9" t="str">
        <x:v>C also changes validity labels and filters by supplied dates. Score movement without supersession is not evidence that old-fact invalidation helped.</x:v>
      </x:c>
    </x:row>
    <x:row r="10" ht="88" customHeight="1">
      <x:c r="A10" s="9" t="str">
        <x:v>C: interval correctness</x:v>
      </x:c>
      <x:c r="B10" s="9" t="str">
        <x:v>21 stored facts have an end date before their start date. LongMemEval S: 4; LongMemEval oracle: 3; MultiHop-RAG: 4; BEAM 100K: 3; BEAM 500K: 4; BEAM 1M: 3</x:v>
      </x:c>
      <x:c r="C10" s="9" t="str">
        <x:v>This is an implementation defect. Correct start-date fallback and interval validation before relying on C or D for temporal memory. The current measurements preserve the defect; its accuracy effect is not isolated.</x:v>
      </x:c>
    </x:row>
    <x:row r="11" ht="88" customHeight="1">
      <x:c r="A11" s="9" t="str">
        <x:v>D: combined graph ranking</x:v>
      </x:c>
      <x:c r="B11" s="9" t="str">
        <x:v>FactConsolidation MH 32K: C 8.00 to D 25.00; MultiHop-RAG: A 53.00 to D 57.00; 2WikiMultiHopQA: A 57.18 to D 55.41</x:v>
      </x:c>
      <x:c r="C11" s="9" t="str">
        <x:v>The combined graph helps some tests and hurts others. Recovery from C does not always beat A. Separate topic, community and relationship contributions have not been measured.</x:v>
      </x:c>
    </x:row>
    <x:row r="12" ht="88" customHeight="1">
      <x:c r="A12" s="9" t="str">
        <x:v>Extraction robustness</x:v>
      </x:c>
      <x:c r="B12" s="9" t="str">
        <x:v>MuSiQue: 409/739 pieces fell back to raw; LongMemEval S: 594/958 pieces fell back to raw; MultiHop-RAG: 395/501 pieces fell back to raw</x:v>
      </x:c>
      <x:c r="C12" s="9" t="str">
        <x:v>Grounding/format checks frequently reject extraction on natural text. These are retained raw-source fallbacks, not missing answers. Improve extraction coverage before assuming the fact layer is fully exercised.</x:v>
      </x:c>
    </x:row>
    <x:row r="13" ht="88" customHeight="1">
      <x:c r="A13" s="9" t="str">
        <x:v>Cost plus quality</x:v>
      </x:c>
      <x:c r="B13" s="9" t="str">
        <x:v>Per-arm tables include questions correct and setup-plus-answer dollars per correct answer. BEAM uses graded rubric scores and has no binary cost-per-correct figure.</x:v>
      </x:c>
      <x:c r="C13" s="9" t="str">
        <x:v>Lower cost is useful only alongside sufficient quality. Shared-cache experiment savings are not the same as standalone deployment economics.</x:v>
      </x:c>
    </x:row>
  </x:sheetData>
  <x:mergeCells>
    <x:mergeCell ref="A2:C3"/>
  </x:mergeCells>
  <x:pageMargins left="0.7" right="0.7" top="0.75" bottom="0.75" header="0.3" footer="0.3"/>
  <x:tableParts count="1">
    <x:tablePart xmlns:r="http://schemas.openxmlformats.org/officeDocument/2006/relationships" r:id="Rae88f2442ef1479c"/>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1" hidden="0" customWidth="1"/>
    <x:col min="3" max="3" width="12" hidden="0" customWidth="1"/>
    <x:col min="4" max="4" width="18" hidden="0" customWidth="1"/>
    <x:col min="5" max="5" width="12" hidden="0" customWidth="1"/>
    <x:col min="6" max="6" width="12" hidden="0" customWidth="1"/>
    <x:col min="7" max="7" width="18" hidden="0" customWidth="1"/>
    <x:col min="8" max="8" width="12" hidden="0" customWidth="1"/>
    <x:col min="9" max="9" width="16" hidden="0" customWidth="1"/>
    <x:col min="10" max="10" width="16" hidden="0" customWidth="1"/>
    <x:col min="11" max="11" width="16" hidden="0" customWidth="1"/>
    <x:col min="12" max="12" width="16" hidden="0" customWidth="1"/>
    <x:col min="13" max="13" width="16" hidden="0" customWidth="1"/>
    <x:col min="14" max="14" width="19" hidden="0" customWidth="1"/>
  </x:cols>
  <x:sheetData>
    <x:row r="1" ht="32" customHeight="1">
      <x:c r="A1" s="3" t="str">
        <x:v>Full Version A quality and cost</x:v>
      </x:c>
      <x:c r="B1" s="2"/>
      <x:c r="C1" s="2"/>
      <x:c r="D1" s="2"/>
      <x:c r="E1" s="2"/>
      <x:c r="F1" s="2"/>
      <x:c r="G1" s="2"/>
      <x:c r="H1" s="2"/>
      <x:c r="I1" s="2"/>
      <x:c r="J1" s="2"/>
      <x:c r="K1" s="2"/>
      <x:c r="L1" s="2"/>
      <x:c r="M1" s="2"/>
      <x:c r="N1" s="2"/>
    </x:row>
    <x:row r="2" ht="22" customHeight="1">
      <x:c r="A2" s="5" t="str">
        <x:v>USD from recorded tokens and configured prices. Serving = answers + fact setup; judges separate. Shared setup shown per standalone arm, paid once across B/C/D. Correct means exact match for F1 datasets; BEAM has no binary count. Local compute unpriced.</x:v>
      </x:c>
      <x:c r="B2" s="5"/>
      <x:c r="C2" s="5"/>
      <x:c r="D2" s="5"/>
      <x:c r="E2" s="5"/>
      <x:c r="F2" s="5"/>
      <x:c r="G2" s="5"/>
      <x:c r="H2" s="5"/>
      <x:c r="I2" s="5"/>
      <x:c r="J2" s="5"/>
      <x:c r="K2" s="5"/>
      <x:c r="L2" s="5"/>
      <x:c r="M2" s="5"/>
      <x:c r="N2" s="5"/>
    </x:row>
    <x:row r="3" ht="22" customHeight="1">
      <x:c r="A3" s="5"/>
      <x:c r="B3" s="5"/>
      <x:c r="C3" s="5"/>
      <x:c r="D3" s="5"/>
      <x:c r="E3" s="5"/>
      <x:c r="F3" s="5"/>
      <x:c r="G3" s="5"/>
      <x:c r="H3" s="5"/>
      <x:c r="I3" s="5"/>
      <x:c r="J3" s="5"/>
      <x:c r="K3" s="5"/>
      <x:c r="L3" s="5"/>
      <x:c r="M3" s="5"/>
      <x:c r="N3" s="5"/>
    </x:row>
    <x:row r="4" ht="10" customHeight="1">
      <x:c r="A4" s="2"/>
      <x:c r="B4" s="2"/>
      <x:c r="C4" s="2"/>
      <x:c r="D4" s="2"/>
      <x:c r="E4" s="2"/>
      <x:c r="F4" s="2"/>
      <x:c r="G4" s="2"/>
      <x:c r="H4" s="2"/>
      <x:c r="I4" s="2"/>
      <x:c r="J4" s="2"/>
      <x:c r="K4" s="2"/>
      <x:c r="L4" s="2"/>
      <x:c r="M4" s="2"/>
      <x:c r="N4" s="2"/>
    </x:row>
    <x:row r="5" ht="48" customHeight="1">
      <x:c r="A5" s="8" t="str">
        <x:v>Test</x:v>
      </x:c>
      <x:c r="B5" s="8" t="str">
        <x:v>Arm</x:v>
      </x:c>
      <x:c r="C5" s="8" t="str">
        <x:v>Questions</x:v>
      </x:c>
      <x:c r="D5" s="8" t="str">
        <x:v>Metric</x:v>
      </x:c>
      <x:c r="E5" s="8" t="str">
        <x:v>Score /100</x:v>
      </x:c>
      <x:c r="F5" s="8" t="str">
        <x:v>Correct</x:v>
      </x:c>
      <x:c r="G5" s="8" t="str">
        <x:v>Correct basis</x:v>
      </x:c>
      <x:c r="H5" s="8" t="str">
        <x:v>Exact match /100</x:v>
      </x:c>
      <x:c r="I5" s="8" t="str">
        <x:v>Fact setup USD</x:v>
      </x:c>
      <x:c r="J5" s="8" t="str">
        <x:v>Answer USD</x:v>
      </x:c>
      <x:c r="K5" s="8" t="str">
        <x:v>Judge USD</x:v>
      </x:c>
      <x:c r="L5" s="8" t="str">
        <x:v>Serving USD</x:v>
      </x:c>
      <x:c r="M5" s="8" t="str">
        <x:v>Serving / Q</x:v>
      </x:c>
      <x:c r="N5" s="8" t="str">
        <x:v>Serving / correct</x:v>
      </x:c>
    </x:row>
    <x:row r="6" ht="30" customHeight="1">
      <x:c r="A6" s="9" t="str">
        <x:v>LoCoMo</x:v>
      </x:c>
      <x:c r="B6" s="9" t="str">
        <x:v>A full</x:v>
      </x:c>
      <x:c r="C6" s="11" t="n">
        <x:v>1540</x:v>
      </x:c>
      <x:c r="D6" s="9" t="str">
        <x:v>Judge accuracy</x:v>
      </x:c>
      <x:c r="E6" s="12" t="n">
        <x:v>61.298701298701296</x:v>
      </x:c>
      <x:c r="F6" s="11" t="n">
        <x:v>944</x:v>
      </x:c>
      <x:c r="G6" s="9" t="str">
        <x:v>Binary</x:v>
      </x:c>
      <x:c r="H6" s="12"/>
      <x:c r="I6" s="16" t="n">
        <x:v>0</x:v>
      </x:c>
      <x:c r="J6" s="16" t="n">
        <x:v>8.36856</x:v>
      </x:c>
      <x:c r="K6" s="16" t="n">
        <x:v>0.015158800000000002</x:v>
      </x:c>
      <x:c r="L6" s="16" t="n">
        <x:f>I6+J6</x:f>
        <x:v>8.36856</x:v>
      </x:c>
      <x:c r="M6" s="16" t="n">
        <x:f>L6/C6</x:f>
        <x:v>0.00543412987012987</x:v>
      </x:c>
      <x:c r="N6" s="16" t="n">
        <x:f>IF(OR(F6="",F6=0),"",L6/F6)</x:f>
        <x:v>0.008865</x:v>
      </x:c>
    </x:row>
    <x:row r="7" ht="30" customHeight="1">
      <x:c r="A7" s="9" t="str">
        <x:v>LoCoMo adversarial</x:v>
      </x:c>
      <x:c r="B7" s="9" t="str">
        <x:v>A full</x:v>
      </x:c>
      <x:c r="C7" s="11" t="n">
        <x:v>446</x:v>
      </x:c>
      <x:c r="D7" s="9" t="str">
        <x:v>Judge accuracy</x:v>
      </x:c>
      <x:c r="E7" s="12" t="n">
        <x:v>87.89237668161435</x:v>
      </x:c>
      <x:c r="F7" s="11" t="n">
        <x:v>392</x:v>
      </x:c>
      <x:c r="G7" s="9" t="str">
        <x:v>Binary</x:v>
      </x:c>
      <x:c r="H7" s="12"/>
      <x:c r="I7" s="16" t="n">
        <x:v>0</x:v>
      </x:c>
      <x:c r="J7" s="16" t="n">
        <x:v>2.62170975</x:v>
      </x:c>
      <x:c r="K7" s="16" t="n">
        <x:v>0.0035379000000000005</x:v>
      </x:c>
      <x:c r="L7" s="16" t="n">
        <x:f>I7+J7</x:f>
        <x:v>2.62170975</x:v>
      </x:c>
      <x:c r="M7" s="16" t="n">
        <x:f>L7/C7</x:f>
        <x:v>0.00587827298206278</x:v>
      </x:c>
      <x:c r="N7" s="16" t="n">
        <x:f>IF(OR(F7="",F7=0),"",L7/F7)</x:f>
        <x:v>0.006688035076530612</x:v>
      </x:c>
    </x:row>
    <x:row r="8" ht="30" customHeight="1">
      <x:c r="A8" s="9" t="str">
        <x:v>MuSiQue</x:v>
      </x:c>
      <x:c r="B8" s="9" t="str">
        <x:v>A full</x:v>
      </x:c>
      <x:c r="C8" s="11" t="n">
        <x:v>1000</x:v>
      </x:c>
      <x:c r="D8" s="9" t="str">
        <x:v>F1</x:v>
      </x:c>
      <x:c r="E8" s="12" t="n">
        <x:v>48.66983214390207</x:v>
      </x:c>
      <x:c r="F8" s="11" t="n">
        <x:v>384</x:v>
      </x:c>
      <x:c r="G8" s="9" t="str">
        <x:v>Exact match</x:v>
      </x:c>
      <x:c r="H8" s="12" t="n">
        <x:f>F8/C8*100</x:f>
        <x:v>38.4</x:v>
      </x:c>
      <x:c r="I8" s="16" t="n">
        <x:v>0</x:v>
      </x:c>
      <x:c r="J8" s="16" t="n">
        <x:v>5.85471</x:v>
      </x:c>
      <x:c r="K8" s="16" t="n">
        <x:v>0</x:v>
      </x:c>
      <x:c r="L8" s="16" t="n">
        <x:f>I8+J8</x:f>
        <x:v>5.85471</x:v>
      </x:c>
      <x:c r="M8" s="16" t="n">
        <x:f>L8/C8</x:f>
        <x:v>0.00585471</x:v>
      </x:c>
      <x:c r="N8" s="16" t="n">
        <x:f>IF(OR(F8="",F8=0),"",L8/F8)</x:f>
        <x:v>0.015246640625</x:v>
      </x:c>
    </x:row>
    <x:row r="9" ht="30" customHeight="1">
      <x:c r="A9" s="9" t="str">
        <x:v>2WikiMultiHopQA</x:v>
      </x:c>
      <x:c r="B9" s="9" t="str">
        <x:v>A full</x:v>
      </x:c>
      <x:c r="C9" s="11" t="n">
        <x:v>1000</x:v>
      </x:c>
      <x:c r="D9" s="9" t="str">
        <x:v>F1</x:v>
      </x:c>
      <x:c r="E9" s="12" t="n">
        <x:v>65.72217736542484</x:v>
      </x:c>
      <x:c r="F9" s="11" t="n">
        <x:v>605</x:v>
      </x:c>
      <x:c r="G9" s="9" t="str">
        <x:v>Exact match</x:v>
      </x:c>
      <x:c r="H9" s="12" t="n">
        <x:f>F9/C9*100</x:f>
        <x:v>60.5</x:v>
      </x:c>
      <x:c r="I9" s="16" t="n">
        <x:v>0</x:v>
      </x:c>
      <x:c r="J9" s="16" t="n">
        <x:v>5.4626955</x:v>
      </x:c>
      <x:c r="K9" s="16" t="n">
        <x:v>0</x:v>
      </x:c>
      <x:c r="L9" s="16" t="n">
        <x:f>I9+J9</x:f>
        <x:v>5.4626955</x:v>
      </x:c>
      <x:c r="M9" s="16" t="n">
        <x:f>L9/C9</x:f>
        <x:v>0.0054626955</x:v>
      </x:c>
      <x:c r="N9" s="16" t="n">
        <x:f>IF(OR(F9="",F9=0),"",L9/F9)</x:f>
        <x:v>0.009029248760330578</x:v>
      </x:c>
    </x:row>
    <x:row r="10" ht="30" customHeight="1">
      <x:c r="A10" s="9" t="str">
        <x:v>LongMemEval S</x:v>
      </x:c>
      <x:c r="B10" s="9" t="str">
        <x:v>A full</x:v>
      </x:c>
      <x:c r="C10" s="11" t="n">
        <x:v>500</x:v>
      </x:c>
      <x:c r="D10" s="9" t="str">
        <x:v>Judge accuracy</x:v>
      </x:c>
      <x:c r="E10" s="12" t="n">
        <x:v>78.2</x:v>
      </x:c>
      <x:c r="F10" s="11" t="n">
        <x:v>391</x:v>
      </x:c>
      <x:c r="G10" s="9" t="str">
        <x:v>Binary</x:v>
      </x:c>
      <x:c r="H10" s="12"/>
      <x:c r="I10" s="16" t="n">
        <x:v>0</x:v>
      </x:c>
      <x:c r="J10" s="16" t="n">
        <x:v>2.540313</x:v>
      </x:c>
      <x:c r="K10" s="16" t="n">
        <x:v>0.0087665</x:v>
      </x:c>
      <x:c r="L10" s="16" t="n">
        <x:f>I10+J10</x:f>
        <x:v>2.540313</x:v>
      </x:c>
      <x:c r="M10" s="16" t="n">
        <x:f>L10/C10</x:f>
        <x:v>0.0050806259999999995</x:v>
      </x:c>
      <x:c r="N10" s="16" t="n">
        <x:f>IF(OR(F10="",F10=0),"",L10/F10)</x:f>
        <x:v>0.006496964194373401</x:v>
      </x:c>
    </x:row>
    <x:row r="11" ht="30" customHeight="1">
      <x:c r="A11" s="9" t="str">
        <x:v>LongMemEval oracle</x:v>
      </x:c>
      <x:c r="B11" s="9" t="str">
        <x:v>A full</x:v>
      </x:c>
      <x:c r="C11" s="11" t="n">
        <x:v>500</x:v>
      </x:c>
      <x:c r="D11" s="9" t="str">
        <x:v>Judge accuracy</x:v>
      </x:c>
      <x:c r="E11" s="12" t="n">
        <x:v>80</x:v>
      </x:c>
      <x:c r="F11" s="11" t="n">
        <x:v>400</x:v>
      </x:c>
      <x:c r="G11" s="9" t="str">
        <x:v>Binary</x:v>
      </x:c>
      <x:c r="H11" s="12"/>
      <x:c r="I11" s="16" t="n">
        <x:v>0</x:v>
      </x:c>
      <x:c r="J11" s="16" t="n">
        <x:v>2.33724675</x:v>
      </x:c>
      <x:c r="K11" s="16" t="n">
        <x:v>0.0087966</x:v>
      </x:c>
      <x:c r="L11" s="16" t="n">
        <x:f>I11+J11</x:f>
        <x:v>2.33724675</x:v>
      </x:c>
      <x:c r="M11" s="16" t="n">
        <x:f>L11/C11</x:f>
        <x:v>0.0046744935</x:v>
      </x:c>
      <x:c r="N11" s="16" t="n">
        <x:f>IF(OR(F11="",F11=0),"",L11/F11)</x:f>
        <x:v>0.005843116874999999</x:v>
      </x:c>
    </x:row>
    <x:row r="12" ht="30" customHeight="1">
      <x:c r="A12" s="9" t="str">
        <x:v>MultiHop-RAG</x:v>
      </x:c>
      <x:c r="B12" s="9" t="str">
        <x:v>A full</x:v>
      </x:c>
      <x:c r="C12" s="11" t="n">
        <x:v>2556</x:v>
      </x:c>
      <x:c r="D12" s="9" t="str">
        <x:v>Judge accuracy</x:v>
      </x:c>
      <x:c r="E12" s="12" t="n">
        <x:v>49.53051643192488</x:v>
      </x:c>
      <x:c r="F12" s="11" t="n">
        <x:v>1266</x:v>
      </x:c>
      <x:c r="G12" s="9" t="str">
        <x:v>Binary</x:v>
      </x:c>
      <x:c r="H12" s="12"/>
      <x:c r="I12" s="16" t="n">
        <x:v>0</x:v>
      </x:c>
      <x:c r="J12" s="16" t="n">
        <x:v>14.02989825</x:v>
      </x:c>
      <x:c r="K12" s="16" t="n">
        <x:v>0.0344261</x:v>
      </x:c>
      <x:c r="L12" s="16" t="n">
        <x:f>I12+J12</x:f>
        <x:v>14.02989825</x:v>
      </x:c>
      <x:c r="M12" s="16" t="n">
        <x:f>L12/C12</x:f>
        <x:v>0.005489005575117371</x:v>
      </x:c>
      <x:c r="N12" s="16" t="n">
        <x:f>IF(OR(F12="",F12=0),"",L12/F12)</x:f>
        <x:v>0.011082068127962086</x:v>
      </x:c>
    </x:row>
    <x:row r="13" ht="30" customHeight="1">
      <x:c r="A13" s="9" t="str">
        <x:v>FactConsolidation SH 6K</x:v>
      </x:c>
      <x:c r="B13" s="9" t="str">
        <x:v>A full</x:v>
      </x:c>
      <x:c r="C13" s="11" t="n">
        <x:v>100</x:v>
      </x:c>
      <x:c r="D13" s="9" t="str">
        <x:v>Substring EM</x:v>
      </x:c>
      <x:c r="E13" s="12" t="n">
        <x:v>100</x:v>
      </x:c>
      <x:c r="F13" s="11" t="n">
        <x:v>100</x:v>
      </x:c>
      <x:c r="G13" s="9" t="str">
        <x:v>Binary</x:v>
      </x:c>
      <x:c r="H13" s="12"/>
      <x:c r="I13" s="16" t="n">
        <x:v>0</x:v>
      </x:c>
      <x:c r="J13" s="16" t="n">
        <x:v>0.4503315</x:v>
      </x:c>
      <x:c r="K13" s="16" t="n">
        <x:v>0</x:v>
      </x:c>
      <x:c r="L13" s="16" t="n">
        <x:f>I13+J13</x:f>
        <x:v>0.4503315</x:v>
      </x:c>
      <x:c r="M13" s="16" t="n">
        <x:f>L13/C13</x:f>
        <x:v>0.004503315</x:v>
      </x:c>
      <x:c r="N13" s="16" t="n">
        <x:f>IF(OR(F13="",F13=0),"",L13/F13)</x:f>
        <x:v>0.004503315</x:v>
      </x:c>
    </x:row>
    <x:row r="14" ht="30" customHeight="1">
      <x:c r="A14" s="9" t="str">
        <x:v>FactConsolidation MH 6K</x:v>
      </x:c>
      <x:c r="B14" s="9" t="str">
        <x:v>A full</x:v>
      </x:c>
      <x:c r="C14" s="11" t="n">
        <x:v>100</x:v>
      </x:c>
      <x:c r="D14" s="9" t="str">
        <x:v>Substring EM</x:v>
      </x:c>
      <x:c r="E14" s="12" t="n">
        <x:v>60</x:v>
      </x:c>
      <x:c r="F14" s="11" t="n">
        <x:v>60</x:v>
      </x:c>
      <x:c r="G14" s="9" t="str">
        <x:v>Binary</x:v>
      </x:c>
      <x:c r="H14" s="12"/>
      <x:c r="I14" s="16" t="n">
        <x:v>0</x:v>
      </x:c>
      <x:c r="J14" s="16" t="n">
        <x:v>0.58445775</x:v>
      </x:c>
      <x:c r="K14" s="16" t="n">
        <x:v>0</x:v>
      </x:c>
      <x:c r="L14" s="16" t="n">
        <x:f>I14+J14</x:f>
        <x:v>0.58445775</x:v>
      </x:c>
      <x:c r="M14" s="16" t="n">
        <x:f>L14/C14</x:f>
        <x:v>0.0058445775</x:v>
      </x:c>
      <x:c r="N14" s="16" t="n">
        <x:f>IF(OR(F14="",F14=0),"",L14/F14)</x:f>
        <x:v>0.0097409625</x:v>
      </x:c>
    </x:row>
    <x:row r="15" ht="30" customHeight="1">
      <x:c r="A15" s="9" t="str">
        <x:v>FactConsolidation SH 32K</x:v>
      </x:c>
      <x:c r="B15" s="9" t="str">
        <x:v>A full</x:v>
      </x:c>
      <x:c r="C15" s="11" t="n">
        <x:v>100</x:v>
      </x:c>
      <x:c r="D15" s="9" t="str">
        <x:v>Substring EM</x:v>
      </x:c>
      <x:c r="E15" s="12" t="n">
        <x:v>92</x:v>
      </x:c>
      <x:c r="F15" s="11" t="n">
        <x:v>92</x:v>
      </x:c>
      <x:c r="G15" s="9" t="str">
        <x:v>Binary</x:v>
      </x:c>
      <x:c r="H15" s="12"/>
      <x:c r="I15" s="16" t="n">
        <x:v>0</x:v>
      </x:c>
      <x:c r="J15" s="16" t="n">
        <x:v>0.4541235</x:v>
      </x:c>
      <x:c r="K15" s="16" t="n">
        <x:v>0</x:v>
      </x:c>
      <x:c r="L15" s="16" t="n">
        <x:f>I15+J15</x:f>
        <x:v>0.4541235</x:v>
      </x:c>
      <x:c r="M15" s="16" t="n">
        <x:f>L15/C15</x:f>
        <x:v>0.004541235</x:v>
      </x:c>
      <x:c r="N15" s="16" t="n">
        <x:f>IF(OR(F15="",F15=0),"",L15/F15)</x:f>
        <x:v>0.004936125</x:v>
      </x:c>
    </x:row>
    <x:row r="16" ht="30" customHeight="1">
      <x:c r="A16" s="9" t="str">
        <x:v>FactConsolidation MH 32K</x:v>
      </x:c>
      <x:c r="B16" s="9" t="str">
        <x:v>A full</x:v>
      </x:c>
      <x:c r="C16" s="11" t="n">
        <x:v>100</x:v>
      </x:c>
      <x:c r="D16" s="9" t="str">
        <x:v>Substring EM</x:v>
      </x:c>
      <x:c r="E16" s="12" t="n">
        <x:v>17</x:v>
      </x:c>
      <x:c r="F16" s="11" t="n">
        <x:v>17</x:v>
      </x:c>
      <x:c r="G16" s="9" t="str">
        <x:v>Binary</x:v>
      </x:c>
      <x:c r="H16" s="12"/>
      <x:c r="I16" s="16" t="n">
        <x:v>0</x:v>
      </x:c>
      <x:c r="J16" s="16" t="n">
        <x:v>0.61955625</x:v>
      </x:c>
      <x:c r="K16" s="16" t="n">
        <x:v>0</x:v>
      </x:c>
      <x:c r="L16" s="16" t="n">
        <x:f>I16+J16</x:f>
        <x:v>0.61955625</x:v>
      </x:c>
      <x:c r="M16" s="16" t="n">
        <x:f>L16/C16</x:f>
        <x:v>0.0061955625000000005</x:v>
      </x:c>
      <x:c r="N16" s="16" t="n">
        <x:f>IF(OR(F16="",F16=0),"",L16/F16)</x:f>
        <x:v>0.036444485294117646</x:v>
      </x:c>
    </x:row>
    <x:row r="17" ht="30" customHeight="1">
      <x:c r="A17" s="9" t="str">
        <x:v>FactConsolidation SH 64K</x:v>
      </x:c>
      <x:c r="B17" s="9" t="str">
        <x:v>A full</x:v>
      </x:c>
      <x:c r="C17" s="11" t="n">
        <x:v>100</x:v>
      </x:c>
      <x:c r="D17" s="9" t="str">
        <x:v>Substring EM</x:v>
      </x:c>
      <x:c r="E17" s="12" t="n">
        <x:v>86</x:v>
      </x:c>
      <x:c r="F17" s="11" t="n">
        <x:v>86</x:v>
      </x:c>
      <x:c r="G17" s="9" t="str">
        <x:v>Binary</x:v>
      </x:c>
      <x:c r="H17" s="12"/>
      <x:c r="I17" s="16" t="n">
        <x:v>0</x:v>
      </x:c>
      <x:c r="J17" s="16" t="n">
        <x:v>0.464037</x:v>
      </x:c>
      <x:c r="K17" s="16" t="n">
        <x:v>0</x:v>
      </x:c>
      <x:c r="L17" s="16" t="n">
        <x:f>I17+J17</x:f>
        <x:v>0.464037</x:v>
      </x:c>
      <x:c r="M17" s="16" t="n">
        <x:f>L17/C17</x:f>
        <x:v>0.0046403699999999996</x:v>
      </x:c>
      <x:c r="N17" s="16" t="n">
        <x:f>IF(OR(F17="",F17=0),"",L17/F17)</x:f>
        <x:v>0.005395779069767442</x:v>
      </x:c>
    </x:row>
    <x:row r="18" ht="30" customHeight="1">
      <x:c r="A18" s="9" t="str">
        <x:v>FactConsolidation MH 64K</x:v>
      </x:c>
      <x:c r="B18" s="9" t="str">
        <x:v>A full</x:v>
      </x:c>
      <x:c r="C18" s="11" t="n">
        <x:v>100</x:v>
      </x:c>
      <x:c r="D18" s="9" t="str">
        <x:v>Substring EM</x:v>
      </x:c>
      <x:c r="E18" s="12" t="n">
        <x:v>15</x:v>
      </x:c>
      <x:c r="F18" s="11" t="n">
        <x:v>15</x:v>
      </x:c>
      <x:c r="G18" s="9" t="str">
        <x:v>Binary</x:v>
      </x:c>
      <x:c r="H18" s="12"/>
      <x:c r="I18" s="16" t="n">
        <x:v>0</x:v>
      </x:c>
      <x:c r="J18" s="16" t="n">
        <x:v>0.6266235</x:v>
      </x:c>
      <x:c r="K18" s="16" t="n">
        <x:v>0</x:v>
      </x:c>
      <x:c r="L18" s="16" t="n">
        <x:f>I18+J18</x:f>
        <x:v>0.6266235</x:v>
      </x:c>
      <x:c r="M18" s="16" t="n">
        <x:f>L18/C18</x:f>
        <x:v>0.006266235</x:v>
      </x:c>
      <x:c r="N18" s="16" t="n">
        <x:f>IF(OR(F18="",F18=0),"",L18/F18)</x:f>
        <x:v>0.0417749</x:v>
      </x:c>
    </x:row>
    <x:row r="19" ht="30" customHeight="1">
      <x:c r="A19" s="9" t="str">
        <x:v>FactConsolidation SH 262K</x:v>
      </x:c>
      <x:c r="B19" s="9" t="str">
        <x:v>A full</x:v>
      </x:c>
      <x:c r="C19" s="11" t="n">
        <x:v>100</x:v>
      </x:c>
      <x:c r="D19" s="9" t="str">
        <x:v>Substring EM</x:v>
      </x:c>
      <x:c r="E19" s="12" t="n">
        <x:v>74</x:v>
      </x:c>
      <x:c r="F19" s="11" t="n">
        <x:v>74</x:v>
      </x:c>
      <x:c r="G19" s="9" t="str">
        <x:v>Binary</x:v>
      </x:c>
      <x:c r="H19" s="12"/>
      <x:c r="I19" s="16" t="n">
        <x:v>0</x:v>
      </x:c>
      <x:c r="J19" s="16" t="n">
        <x:v>0.49873725</x:v>
      </x:c>
      <x:c r="K19" s="16" t="n">
        <x:v>0</x:v>
      </x:c>
      <x:c r="L19" s="16" t="n">
        <x:f>I19+J19</x:f>
        <x:v>0.49873725</x:v>
      </x:c>
      <x:c r="M19" s="16" t="n">
        <x:f>L19/C19</x:f>
        <x:v>0.0049873725</x:v>
      </x:c>
      <x:c r="N19" s="16" t="n">
        <x:f>IF(OR(F19="",F19=0),"",L19/F19)</x:f>
        <x:v>0.006739692567567568</x:v>
      </x:c>
    </x:row>
    <x:row r="20" ht="30" customHeight="1">
      <x:c r="A20" s="9" t="str">
        <x:v>FactConsolidation MH 262K</x:v>
      </x:c>
      <x:c r="B20" s="9" t="str">
        <x:v>A full</x:v>
      </x:c>
      <x:c r="C20" s="11" t="n">
        <x:v>100</x:v>
      </x:c>
      <x:c r="D20" s="9" t="str">
        <x:v>Substring EM</x:v>
      </x:c>
      <x:c r="E20" s="12" t="n">
        <x:v>9</x:v>
      </x:c>
      <x:c r="F20" s="11" t="n">
        <x:v>9</x:v>
      </x:c>
      <x:c r="G20" s="9" t="str">
        <x:v>Binary</x:v>
      </x:c>
      <x:c r="H20" s="12"/>
      <x:c r="I20" s="16" t="n">
        <x:v>0</x:v>
      </x:c>
      <x:c r="J20" s="16" t="n">
        <x:v>0.6328185</x:v>
      </x:c>
      <x:c r="K20" s="16" t="n">
        <x:v>0</x:v>
      </x:c>
      <x:c r="L20" s="16" t="n">
        <x:f>I20+J20</x:f>
        <x:v>0.6328185</x:v>
      </x:c>
      <x:c r="M20" s="16" t="n">
        <x:f>L20/C20</x:f>
        <x:v>0.006328184999999999</x:v>
      </x:c>
      <x:c r="N20" s="16" t="n">
        <x:f>IF(OR(F20="",F20=0),"",L20/F20)</x:f>
        <x:v>0.07031316666666666</x:v>
      </x:c>
    </x:row>
    <x:row r="21" ht="30" customHeight="1">
      <x:c r="A21" s="9" t="str">
        <x:v>PersonaMem v2 32K</x:v>
      </x:c>
      <x:c r="B21" s="9" t="str">
        <x:v>A full</x:v>
      </x:c>
      <x:c r="C21" s="11" t="n">
        <x:v>5000</x:v>
      </x:c>
      <x:c r="D21" s="9" t="str">
        <x:v>MCQ accuracy</x:v>
      </x:c>
      <x:c r="E21" s="12" t="n">
        <x:v>44.9</x:v>
      </x:c>
      <x:c r="F21" s="11" t="n">
        <x:v>2245</x:v>
      </x:c>
      <x:c r="G21" s="9" t="str">
        <x:v>Binary</x:v>
      </x:c>
      <x:c r="H21" s="12"/>
      <x:c r="I21" s="16" t="n">
        <x:v>0</x:v>
      </x:c>
      <x:c r="J21" s="16" t="n">
        <x:v>29.37875175</x:v>
      </x:c>
      <x:c r="K21" s="16" t="n">
        <x:v>0</x:v>
      </x:c>
      <x:c r="L21" s="16" t="n">
        <x:f>I21+J21</x:f>
        <x:v>29.37875175</x:v>
      </x:c>
      <x:c r="M21" s="16" t="n">
        <x:f>L21/C21</x:f>
        <x:v>0.00587575035</x:v>
      </x:c>
      <x:c r="N21" s="16" t="n">
        <x:f>IF(OR(F21="",F21=0),"",L21/F21)</x:f>
        <x:v>0.013086303674832963</x:v>
      </x:c>
    </x:row>
    <x:row r="22" ht="30" customHeight="1">
      <x:c r="A22" s="9" t="str">
        <x:v>PersonaMem v2 128K</x:v>
      </x:c>
      <x:c r="B22" s="9" t="str">
        <x:v>A full</x:v>
      </x:c>
      <x:c r="C22" s="11" t="n">
        <x:v>5000</x:v>
      </x:c>
      <x:c r="D22" s="9" t="str">
        <x:v>MCQ accuracy</x:v>
      </x:c>
      <x:c r="E22" s="12" t="n">
        <x:v>42.04</x:v>
      </x:c>
      <x:c r="F22" s="11" t="n">
        <x:v>2102</x:v>
      </x:c>
      <x:c r="G22" s="9" t="str">
        <x:v>Binary</x:v>
      </x:c>
      <x:c r="H22" s="12"/>
      <x:c r="I22" s="16" t="n">
        <x:v>0</x:v>
      </x:c>
      <x:c r="J22" s="16" t="n">
        <x:v>29.59366275</x:v>
      </x:c>
      <x:c r="K22" s="16" t="n">
        <x:v>0</x:v>
      </x:c>
      <x:c r="L22" s="16" t="n">
        <x:f>I22+J22</x:f>
        <x:v>29.59366275</x:v>
      </x:c>
      <x:c r="M22" s="16" t="n">
        <x:f>L22/C22</x:f>
        <x:v>0.00591873255</x:v>
      </x:c>
      <x:c r="N22" s="16" t="n">
        <x:f>IF(OR(F22="",F22=0),"",L22/F22)</x:f>
        <x:v>0.014078811964795433</x:v>
      </x:c>
    </x:row>
    <x:row r="23" ht="30" customHeight="1">
      <x:c r="A23" s="9" t="str">
        <x:v>BEAM 100K</x:v>
      </x:c>
      <x:c r="B23" s="9" t="str">
        <x:v>A full</x:v>
      </x:c>
      <x:c r="C23" s="11" t="n">
        <x:v>400</x:v>
      </x:c>
      <x:c r="D23" s="9" t="str">
        <x:v>Rubric mean</x:v>
      </x:c>
      <x:c r="E23" s="12" t="n">
        <x:v>36.401339285714286</x:v>
      </x:c>
      <x:c r="F23" s="11"/>
      <x:c r="G23" s="9" t="str">
        <x:v>N/A</x:v>
      </x:c>
      <x:c r="H23" s="12"/>
      <x:c r="I23" s="16" t="n">
        <x:v>0</x:v>
      </x:c>
      <x:c r="J23" s="16" t="n">
        <x:v>2.166063</x:v>
      </x:c>
      <x:c r="K23" s="16" t="n">
        <x:v>0.1331376</x:v>
      </x:c>
      <x:c r="L23" s="16" t="n">
        <x:f>I23+J23</x:f>
        <x:v>2.166063</x:v>
      </x:c>
      <x:c r="M23" s="16" t="n">
        <x:f>L23/C23</x:f>
        <x:v>0.0054151575</x:v>
      </x:c>
      <x:c r="N23" s="16" t="str">
        <x:f>IF(OR(F23="",F23=0),"",L23/F23)</x:f>
      </x:c>
    </x:row>
    <x:row r="24" ht="30" customHeight="1">
      <x:c r="A24" s="9" t="str">
        <x:v>BEAM 500K</x:v>
      </x:c>
      <x:c r="B24" s="9" t="str">
        <x:v>A full</x:v>
      </x:c>
      <x:c r="C24" s="11" t="n">
        <x:v>700</x:v>
      </x:c>
      <x:c r="D24" s="9" t="str">
        <x:v>Rubric mean</x:v>
      </x:c>
      <x:c r="E24" s="12" t="n">
        <x:v>31.17819858712716</x:v>
      </x:c>
      <x:c r="F24" s="11"/>
      <x:c r="G24" s="9" t="str">
        <x:v>N/A</x:v>
      </x:c>
      <x:c r="H24" s="12"/>
      <x:c r="I24" s="16" t="n">
        <x:v>0</x:v>
      </x:c>
      <x:c r="J24" s="16" t="n">
        <x:v>3.8016255</x:v>
      </x:c>
      <x:c r="K24" s="16" t="n">
        <x:v>0.24619230000000003</x:v>
      </x:c>
      <x:c r="L24" s="16" t="n">
        <x:f>I24+J24</x:f>
        <x:v>3.8016255</x:v>
      </x:c>
      <x:c r="M24" s="16" t="n">
        <x:f>L24/C24</x:f>
        <x:v>0.005430893571428572</x:v>
      </x:c>
      <x:c r="N24" s="16" t="str">
        <x:f>IF(OR(F24="",F24=0),"",L24/F24)</x:f>
      </x:c>
    </x:row>
    <x:row r="25" ht="30" customHeight="1">
      <x:c r="A25" s="9" t="str">
        <x:v>BEAM 1M</x:v>
      </x:c>
      <x:c r="B25" s="9" t="str">
        <x:v>A full</x:v>
      </x:c>
      <x:c r="C25" s="11" t="n">
        <x:v>700</x:v>
      </x:c>
      <x:c r="D25" s="9" t="str">
        <x:v>Rubric mean</x:v>
      </x:c>
      <x:c r="E25" s="12" t="n">
        <x:v>31.69187023294166</x:v>
      </x:c>
      <x:c r="F25" s="11"/>
      <x:c r="G25" s="9" t="str">
        <x:v>N/A</x:v>
      </x:c>
      <x:c r="H25" s="12"/>
      <x:c r="I25" s="16" t="n">
        <x:v>0</x:v>
      </x:c>
      <x:c r="J25" s="16" t="n">
        <x:v>3.76565475</x:v>
      </x:c>
      <x:c r="K25" s="16" t="n">
        <x:v>0.3055403</x:v>
      </x:c>
      <x:c r="L25" s="16" t="n">
        <x:f>I25+J25</x:f>
        <x:v>3.76565475</x:v>
      </x:c>
      <x:c r="M25" s="16" t="n">
        <x:f>L25/C25</x:f>
        <x:v>0.005379506785714285</x:v>
      </x:c>
      <x:c r="N25" s="16" t="str">
        <x:f>IF(OR(F25="",F25=0),"",L25/F25)</x:f>
      </x:c>
    </x:row>
  </x:sheetData>
  <x:mergeCells>
    <x:mergeCell ref="A2:N3"/>
  </x:mergeCells>
  <x:pageMargins left="0.7" right="0.7" top="0.75" bottom="0.75" header="0.3" footer="0.3"/>
  <x:tableParts count="1">
    <x:tablePart xmlns:r="http://schemas.openxmlformats.org/officeDocument/2006/relationships" r:id="R636609f7488a49d3"/>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1" hidden="0" customWidth="1"/>
    <x:col min="3" max="3" width="12" hidden="0" customWidth="1"/>
    <x:col min="4" max="4" width="18" hidden="0" customWidth="1"/>
    <x:col min="5" max="5" width="12" hidden="0" customWidth="1"/>
    <x:col min="6" max="6" width="12" hidden="0" customWidth="1"/>
    <x:col min="7" max="7" width="18" hidden="0" customWidth="1"/>
    <x:col min="8" max="8" width="12" hidden="0" customWidth="1"/>
    <x:col min="9" max="9" width="16" hidden="0" customWidth="1"/>
    <x:col min="10" max="10" width="16" hidden="0" customWidth="1"/>
    <x:col min="11" max="11" width="16" hidden="0" customWidth="1"/>
    <x:col min="12" max="12" width="16" hidden="0" customWidth="1"/>
    <x:col min="13" max="13" width="16" hidden="0" customWidth="1"/>
    <x:col min="14" max="14" width="19" hidden="0" customWidth="1"/>
  </x:cols>
  <x:sheetData>
    <x:row r="1" ht="32" customHeight="1">
      <x:c r="A1" s="3" t="str">
        <x:v>Matched A/B/C/D quality and cost</x:v>
      </x:c>
      <x:c r="B1" s="2"/>
      <x:c r="C1" s="2"/>
      <x:c r="D1" s="2"/>
      <x:c r="E1" s="2"/>
      <x:c r="F1" s="2"/>
      <x:c r="G1" s="2"/>
      <x:c r="H1" s="2"/>
      <x:c r="I1" s="2"/>
      <x:c r="J1" s="2"/>
      <x:c r="K1" s="2"/>
      <x:c r="L1" s="2"/>
      <x:c r="M1" s="2"/>
      <x:c r="N1" s="2"/>
    </x:row>
    <x:row r="2" ht="22" customHeight="1">
      <x:c r="A2" s="5" t="str">
        <x:v>USD from recorded tokens and configured prices. Serving = answers + fact setup; judges separate. Shared setup shown per standalone arm, paid once across B/C/D. Correct means exact match for F1 datasets; BEAM has no binary count. Local compute unpriced.</x:v>
      </x:c>
      <x:c r="B2" s="5"/>
      <x:c r="C2" s="5"/>
      <x:c r="D2" s="5"/>
      <x:c r="E2" s="5"/>
      <x:c r="F2" s="5"/>
      <x:c r="G2" s="5"/>
      <x:c r="H2" s="5"/>
      <x:c r="I2" s="5"/>
      <x:c r="J2" s="5"/>
      <x:c r="K2" s="5"/>
      <x:c r="L2" s="5"/>
      <x:c r="M2" s="5"/>
      <x:c r="N2" s="5"/>
    </x:row>
    <x:row r="3" ht="22" customHeight="1">
      <x:c r="A3" s="5"/>
      <x:c r="B3" s="5"/>
      <x:c r="C3" s="5"/>
      <x:c r="D3" s="5"/>
      <x:c r="E3" s="5"/>
      <x:c r="F3" s="5"/>
      <x:c r="G3" s="5"/>
      <x:c r="H3" s="5"/>
      <x:c r="I3" s="5"/>
      <x:c r="J3" s="5"/>
      <x:c r="K3" s="5"/>
      <x:c r="L3" s="5"/>
      <x:c r="M3" s="5"/>
      <x:c r="N3" s="5"/>
    </x:row>
    <x:row r="4" ht="10" customHeight="1">
      <x:c r="A4" s="2"/>
      <x:c r="B4" s="2"/>
      <x:c r="C4" s="2"/>
      <x:c r="D4" s="2"/>
      <x:c r="E4" s="2"/>
      <x:c r="F4" s="2"/>
      <x:c r="G4" s="2"/>
      <x:c r="H4" s="2"/>
      <x:c r="I4" s="2"/>
      <x:c r="J4" s="2"/>
      <x:c r="K4" s="2"/>
      <x:c r="L4" s="2"/>
      <x:c r="M4" s="2"/>
      <x:c r="N4" s="2"/>
    </x:row>
    <x:row r="5" ht="48" customHeight="1">
      <x:c r="A5" s="8" t="str">
        <x:v>Test</x:v>
      </x:c>
      <x:c r="B5" s="8" t="str">
        <x:v>Arm</x:v>
      </x:c>
      <x:c r="C5" s="8" t="str">
        <x:v>Questions</x:v>
      </x:c>
      <x:c r="D5" s="8" t="str">
        <x:v>Metric</x:v>
      </x:c>
      <x:c r="E5" s="8" t="str">
        <x:v>Score /100</x:v>
      </x:c>
      <x:c r="F5" s="8" t="str">
        <x:v>Correct</x:v>
      </x:c>
      <x:c r="G5" s="8" t="str">
        <x:v>Correct basis</x:v>
      </x:c>
      <x:c r="H5" s="8" t="str">
        <x:v>Exact match /100</x:v>
      </x:c>
      <x:c r="I5" s="8" t="str">
        <x:v>Fact setup USD</x:v>
      </x:c>
      <x:c r="J5" s="8" t="str">
        <x:v>Answer USD</x:v>
      </x:c>
      <x:c r="K5" s="8" t="str">
        <x:v>Judge USD</x:v>
      </x:c>
      <x:c r="L5" s="8" t="str">
        <x:v>Serving USD</x:v>
      </x:c>
      <x:c r="M5" s="8" t="str">
        <x:v>Serving / Q</x:v>
      </x:c>
      <x:c r="N5" s="8" t="str">
        <x:v>Serving / correct</x:v>
      </x:c>
    </x:row>
    <x:row r="6" ht="30" customHeight="1">
      <x:c r="A6" s="9" t="str">
        <x:v>LoCoMo</x:v>
      </x:c>
      <x:c r="B6" s="9" t="str">
        <x:v>A</x:v>
      </x:c>
      <x:c r="C6" s="11" t="n">
        <x:v>77</x:v>
      </x:c>
      <x:c r="D6" s="9" t="str">
        <x:v>Judge accuracy</x:v>
      </x:c>
      <x:c r="E6" s="12" t="n">
        <x:v>61.038961038961034</x:v>
      </x:c>
      <x:c r="F6" s="11" t="n">
        <x:v>47</x:v>
      </x:c>
      <x:c r="G6" s="9" t="str">
        <x:v>Binary</x:v>
      </x:c>
      <x:c r="H6" s="12"/>
      <x:c r="I6" s="16" t="n">
        <x:v>0</x:v>
      </x:c>
      <x:c r="J6" s="16" t="n">
        <x:v>0.43003199999999997</x:v>
      </x:c>
      <x:c r="K6" s="16" t="n">
        <x:v>0.0007484000000000001</x:v>
      </x:c>
      <x:c r="L6" s="16" t="n">
        <x:f>I6+J6</x:f>
        <x:v>0.43003199999999997</x:v>
      </x:c>
      <x:c r="M6" s="16" t="n">
        <x:f>L6/C6</x:f>
        <x:v>0.005584831168831169</x:v>
      </x:c>
      <x:c r="N6" s="16" t="n">
        <x:f>IF(OR(F6="",F6=0),"",L6/F6)</x:f>
        <x:v>0.009149617021276596</x:v>
      </x:c>
    </x:row>
    <x:row r="7" ht="30" customHeight="1">
      <x:c r="A7" s="9" t="str">
        <x:v>LoCoMo</x:v>
      </x:c>
      <x:c r="B7" s="9" t="str">
        <x:v>B</x:v>
      </x:c>
      <x:c r="C7" s="11" t="n">
        <x:v>77</x:v>
      </x:c>
      <x:c r="D7" s="9" t="str">
        <x:v>Judge accuracy</x:v>
      </x:c>
      <x:c r="E7" s="12" t="n">
        <x:v>54.54545454545454</x:v>
      </x:c>
      <x:c r="F7" s="11" t="n">
        <x:v>42</x:v>
      </x:c>
      <x:c r="G7" s="9" t="str">
        <x:v>Binary</x:v>
      </x:c>
      <x:c r="H7" s="12"/>
      <x:c r="I7" s="16" t="n">
        <x:v>0.07139566146103896</x:v>
      </x:c>
      <x:c r="J7" s="16" t="n">
        <x:v>0.42666525</x:v>
      </x:c>
      <x:c r="K7" s="16" t="n">
        <x:v>0.0007332</x:v>
      </x:c>
      <x:c r="L7" s="16" t="n">
        <x:f>I7+J7</x:f>
        <x:v>0.4980609114610389</x:v>
      </x:c>
      <x:c r="M7" s="16" t="n">
        <x:f>L7/C7</x:f>
        <x:v>0.006468323525468038</x:v>
      </x:c>
      <x:c r="N7" s="16" t="n">
        <x:f>IF(OR(F7="",F7=0),"",L7/F7)</x:f>
        <x:v>0.011858593130024736</x:v>
      </x:c>
    </x:row>
    <x:row r="8" ht="30" customHeight="1">
      <x:c r="A8" s="9" t="str">
        <x:v>LoCoMo</x:v>
      </x:c>
      <x:c r="B8" s="9" t="str">
        <x:v>C</x:v>
      </x:c>
      <x:c r="C8" s="11" t="n">
        <x:v>77</x:v>
      </x:c>
      <x:c r="D8" s="9" t="str">
        <x:v>Judge accuracy</x:v>
      </x:c>
      <x:c r="E8" s="12" t="n">
        <x:v>54.54545454545454</x:v>
      </x:c>
      <x:c r="F8" s="11" t="n">
        <x:v>42</x:v>
      </x:c>
      <x:c r="G8" s="9" t="str">
        <x:v>Binary</x:v>
      </x:c>
      <x:c r="H8" s="12"/>
      <x:c r="I8" s="16" t="n">
        <x:v>0.07139566146103896</x:v>
      </x:c>
      <x:c r="J8" s="16" t="n">
        <x:v>0.4331895</x:v>
      </x:c>
      <x:c r="K8" s="16" t="n">
        <x:v>0.0007416</x:v>
      </x:c>
      <x:c r="L8" s="16" t="n">
        <x:f>I8+J8</x:f>
        <x:v>0.5045851614610389</x:v>
      </x:c>
      <x:c r="M8" s="16" t="n">
        <x:f>L8/C8</x:f>
        <x:v>0.006553054044948558</x:v>
      </x:c>
      <x:c r="N8" s="16" t="n">
        <x:f>IF(OR(F8="",F8=0),"",L8/F8)</x:f>
        <x:v>0.012013932415739023</x:v>
      </x:c>
    </x:row>
    <x:row r="9" ht="30" customHeight="1">
      <x:c r="A9" s="9" t="str">
        <x:v>LoCoMo</x:v>
      </x:c>
      <x:c r="B9" s="9" t="str">
        <x:v>D</x:v>
      </x:c>
      <x:c r="C9" s="11" t="n">
        <x:v>77</x:v>
      </x:c>
      <x:c r="D9" s="9" t="str">
        <x:v>Judge accuracy</x:v>
      </x:c>
      <x:c r="E9" s="12" t="n">
        <x:v>55.84415584415584</x:v>
      </x:c>
      <x:c r="F9" s="11" t="n">
        <x:v>43</x:v>
      </x:c>
      <x:c r="G9" s="9" t="str">
        <x:v>Binary</x:v>
      </x:c>
      <x:c r="H9" s="12"/>
      <x:c r="I9" s="16" t="n">
        <x:v>0.07139566146103896</x:v>
      </x:c>
      <x:c r="J9" s="16" t="n">
        <x:v>0.43861574999999997</x:v>
      </x:c>
      <x:c r="K9" s="16" t="n">
        <x:v>0.0007481</x:v>
      </x:c>
      <x:c r="L9" s="16" t="n">
        <x:f>I9+J9</x:f>
        <x:v>0.5100114114610389</x:v>
      </x:c>
      <x:c r="M9" s="16" t="n">
        <x:f>L9/C9</x:f>
        <x:v>0.0066235248241693365</x:v>
      </x:c>
      <x:c r="N9" s="16" t="n">
        <x:f>IF(OR(F9="",F9=0),"",L9/F9)</x:f>
        <x:v>0.011860730499093928</x:v>
      </x:c>
    </x:row>
    <x:row r="10" ht="30" customHeight="1">
      <x:c r="A10" s="9" t="str">
        <x:v>LoCoMo adversarial</x:v>
      </x:c>
      <x:c r="B10" s="9" t="str">
        <x:v>A</x:v>
      </x:c>
      <x:c r="C10" s="11" t="n">
        <x:v>23</x:v>
      </x:c>
      <x:c r="D10" s="9" t="str">
        <x:v>Judge accuracy</x:v>
      </x:c>
      <x:c r="E10" s="12" t="n">
        <x:v>91.30434782608695</x:v>
      </x:c>
      <x:c r="F10" s="11" t="n">
        <x:v>21</x:v>
      </x:c>
      <x:c r="G10" s="9" t="str">
        <x:v>Binary</x:v>
      </x:c>
      <x:c r="H10" s="12"/>
      <x:c r="I10" s="16" t="n">
        <x:v>0</x:v>
      </x:c>
      <x:c r="J10" s="16" t="n">
        <x:v>0.13574475</x:v>
      </x:c>
      <x:c r="K10" s="16" t="n">
        <x:v>0.00018640000000000003</x:v>
      </x:c>
      <x:c r="L10" s="16" t="n">
        <x:f>I10+J10</x:f>
        <x:v>0.13574475</x:v>
      </x:c>
      <x:c r="M10" s="16" t="n">
        <x:f>L10/C10</x:f>
        <x:v>0.0059019456521739126</x:v>
      </x:c>
      <x:c r="N10" s="16" t="n">
        <x:f>IF(OR(F10="",F10=0),"",L10/F10)</x:f>
        <x:v>0.006464035714285714</x:v>
      </x:c>
    </x:row>
    <x:row r="11" ht="30" customHeight="1">
      <x:c r="A11" s="9" t="str">
        <x:v>LoCoMo adversarial</x:v>
      </x:c>
      <x:c r="B11" s="9" t="str">
        <x:v>B</x:v>
      </x:c>
      <x:c r="C11" s="11" t="n">
        <x:v>23</x:v>
      </x:c>
      <x:c r="D11" s="9" t="str">
        <x:v>Judge accuracy</x:v>
      </x:c>
      <x:c r="E11" s="12" t="n">
        <x:v>100</x:v>
      </x:c>
      <x:c r="F11" s="11" t="n">
        <x:v>23</x:v>
      </x:c>
      <x:c r="G11" s="9" t="str">
        <x:v>Binary</x:v>
      </x:c>
      <x:c r="H11" s="12"/>
      <x:c r="I11" s="16" t="n">
        <x:v>0.02075413853896104</x:v>
      </x:c>
      <x:c r="J11" s="16" t="n">
        <x:v>0.13729425</x:v>
      </x:c>
      <x:c r="K11" s="16" t="n">
        <x:v>0.00017840000000000003</x:v>
      </x:c>
      <x:c r="L11" s="16" t="n">
        <x:f>I11+J11</x:f>
        <x:v>0.15804838853896105</x:v>
      </x:c>
      <x:c r="M11" s="16" t="n">
        <x:f>L11/C11</x:f>
        <x:v>0.00687166906691135</x:v>
      </x:c>
      <x:c r="N11" s="16" t="n">
        <x:f>IF(OR(F11="",F11=0),"",L11/F11)</x:f>
        <x:v>0.00687166906691135</x:v>
      </x:c>
    </x:row>
    <x:row r="12" ht="30" customHeight="1">
      <x:c r="A12" s="9" t="str">
        <x:v>LoCoMo adversarial</x:v>
      </x:c>
      <x:c r="B12" s="9" t="str">
        <x:v>C</x:v>
      </x:c>
      <x:c r="C12" s="11" t="n">
        <x:v>23</x:v>
      </x:c>
      <x:c r="D12" s="9" t="str">
        <x:v>Judge accuracy</x:v>
      </x:c>
      <x:c r="E12" s="12" t="n">
        <x:v>100</x:v>
      </x:c>
      <x:c r="F12" s="11" t="n">
        <x:v>23</x:v>
      </x:c>
      <x:c r="G12" s="9" t="str">
        <x:v>Binary</x:v>
      </x:c>
      <x:c r="H12" s="12"/>
      <x:c r="I12" s="16" t="n">
        <x:v>0.02075413853896104</x:v>
      </x:c>
      <x:c r="J12" s="16" t="n">
        <x:v>0.1396095</x:v>
      </x:c>
      <x:c r="K12" s="16" t="n">
        <x:v>0.00017840000000000003</x:v>
      </x:c>
      <x:c r="L12" s="16" t="n">
        <x:f>I12+J12</x:f>
        <x:v>0.16036363853896105</x:v>
      </x:c>
      <x:c r="M12" s="16" t="n">
        <x:f>L12/C12</x:f>
        <x:v>0.006972332110389611</x:v>
      </x:c>
      <x:c r="N12" s="16" t="n">
        <x:f>IF(OR(F12="",F12=0),"",L12/F12)</x:f>
        <x:v>0.006972332110389611</x:v>
      </x:c>
    </x:row>
    <x:row r="13" ht="30" customHeight="1">
      <x:c r="A13" s="9" t="str">
        <x:v>LoCoMo adversarial</x:v>
      </x:c>
      <x:c r="B13" s="9" t="str">
        <x:v>D</x:v>
      </x:c>
      <x:c r="C13" s="11" t="n">
        <x:v>23</x:v>
      </x:c>
      <x:c r="D13" s="9" t="str">
        <x:v>Judge accuracy</x:v>
      </x:c>
      <x:c r="E13" s="12" t="n">
        <x:v>91.30434782608695</x:v>
      </x:c>
      <x:c r="F13" s="11" t="n">
        <x:v>21</x:v>
      </x:c>
      <x:c r="G13" s="9" t="str">
        <x:v>Binary</x:v>
      </x:c>
      <x:c r="H13" s="12"/>
      <x:c r="I13" s="16" t="n">
        <x:v>0.02075413853896104</x:v>
      </x:c>
      <x:c r="J13" s="16" t="n">
        <x:v>0.13700775</x:v>
      </x:c>
      <x:c r="K13" s="16" t="n">
        <x:v>0.00018730000000000003</x:v>
      </x:c>
      <x:c r="L13" s="16" t="n">
        <x:f>I13+J13</x:f>
        <x:v>0.15776188853896106</x:v>
      </x:c>
      <x:c r="M13" s="16" t="n">
        <x:f>L13/C13</x:f>
        <x:v>0.00685921254517222</x:v>
      </x:c>
      <x:c r="N13" s="16" t="n">
        <x:f>IF(OR(F13="",F13=0),"",L13/F13)</x:f>
        <x:v>0.007512470882807669</x:v>
      </x:c>
    </x:row>
    <x:row r="14" ht="30" customHeight="1">
      <x:c r="A14" s="9" t="str">
        <x:v>MuSiQue</x:v>
      </x:c>
      <x:c r="B14" s="9" t="str">
        <x:v>A</x:v>
      </x:c>
      <x:c r="C14" s="11" t="n">
        <x:v>100</x:v>
      </x:c>
      <x:c r="D14" s="9" t="str">
        <x:v>F1</x:v>
      </x:c>
      <x:c r="E14" s="12" t="n">
        <x:v>53.01118326118326</x:v>
      </x:c>
      <x:c r="F14" s="11" t="n">
        <x:v>46</x:v>
      </x:c>
      <x:c r="G14" s="9" t="str">
        <x:v>Exact match</x:v>
      </x:c>
      <x:c r="H14" s="12" t="n">
        <x:f>F14/C14*100</x:f>
        <x:v>46</x:v>
      </x:c>
      <x:c r="I14" s="16" t="n">
        <x:v>0</x:v>
      </x:c>
      <x:c r="J14" s="16" t="n">
        <x:v>0.57975825</x:v>
      </x:c>
      <x:c r="K14" s="16" t="n">
        <x:v>0</x:v>
      </x:c>
      <x:c r="L14" s="16" t="n">
        <x:f>I14+J14</x:f>
        <x:v>0.57975825</x:v>
      </x:c>
      <x:c r="M14" s="16" t="n">
        <x:f>L14/C14</x:f>
        <x:v>0.0057975825000000005</x:v>
      </x:c>
      <x:c r="N14" s="16" t="n">
        <x:f>IF(OR(F14="",F14=0),"",L14/F14)</x:f>
        <x:v>0.012603440217391305</x:v>
      </x:c>
    </x:row>
    <x:row r="15" ht="30" customHeight="1">
      <x:c r="A15" s="9" t="str">
        <x:v>MuSiQue</x:v>
      </x:c>
      <x:c r="B15" s="9" t="str">
        <x:v>B</x:v>
      </x:c>
      <x:c r="C15" s="11" t="n">
        <x:v>100</x:v>
      </x:c>
      <x:c r="D15" s="9" t="str">
        <x:v>F1</x:v>
      </x:c>
      <x:c r="E15" s="12" t="n">
        <x:v>49.76228771228771</x:v>
      </x:c>
      <x:c r="F15" s="11" t="n">
        <x:v>46</x:v>
      </x:c>
      <x:c r="G15" s="9" t="str">
        <x:v>Exact match</x:v>
      </x:c>
      <x:c r="H15" s="12" t="n">
        <x:f>F15/C15*100</x:f>
        <x:v>46</x:v>
      </x:c>
      <x:c r="I15" s="16" t="n">
        <x:v>0.40040580000000003</x:v>
      </x:c>
      <x:c r="J15" s="16" t="n">
        <x:v>0.5859015</x:v>
      </x:c>
      <x:c r="K15" s="16" t="n">
        <x:v>0</x:v>
      </x:c>
      <x:c r="L15" s="16" t="n">
        <x:f>I15+J15</x:f>
        <x:v>0.9863073</x:v>
      </x:c>
      <x:c r="M15" s="16" t="n">
        <x:f>L15/C15</x:f>
        <x:v>0.009863073</x:v>
      </x:c>
      <x:c r="N15" s="16" t="n">
        <x:f>IF(OR(F15="",F15=0),"",L15/F15)</x:f>
        <x:v>0.02144146304347826</x:v>
      </x:c>
    </x:row>
    <x:row r="16" ht="30" customHeight="1">
      <x:c r="A16" s="9" t="str">
        <x:v>MuSiQue</x:v>
      </x:c>
      <x:c r="B16" s="9" t="str">
        <x:v>C</x:v>
      </x:c>
      <x:c r="C16" s="11" t="n">
        <x:v>100</x:v>
      </x:c>
      <x:c r="D16" s="9" t="str">
        <x:v>F1</x:v>
      </x:c>
      <x:c r="E16" s="12" t="n">
        <x:v>49.86424849660144</x:v>
      </x:c>
      <x:c r="F16" s="11" t="n">
        <x:v>44</x:v>
      </x:c>
      <x:c r="G16" s="9" t="str">
        <x:v>Exact match</x:v>
      </x:c>
      <x:c r="H16" s="12" t="n">
        <x:f>F16/C16*100</x:f>
        <x:v>44</x:v>
      </x:c>
      <x:c r="I16" s="16" t="n">
        <x:v>0.40040580000000003</x:v>
      </x:c>
      <x:c r="J16" s="16" t="n">
        <x:v>0.585798</x:v>
      </x:c>
      <x:c r="K16" s="16" t="n">
        <x:v>0</x:v>
      </x:c>
      <x:c r="L16" s="16" t="n">
        <x:f>I16+J16</x:f>
        <x:v>0.9862038000000001</x:v>
      </x:c>
      <x:c r="M16" s="16" t="n">
        <x:f>L16/C16</x:f>
        <x:v>0.009862038</x:v>
      </x:c>
      <x:c r="N16" s="16" t="n">
        <x:f>IF(OR(F16="",F16=0),"",L16/F16)</x:f>
        <x:v>0.02241372272727273</x:v>
      </x:c>
    </x:row>
    <x:row r="17" ht="30" customHeight="1">
      <x:c r="A17" s="9" t="str">
        <x:v>MuSiQue</x:v>
      </x:c>
      <x:c r="B17" s="9" t="str">
        <x:v>D</x:v>
      </x:c>
      <x:c r="C17" s="11" t="n">
        <x:v>100</x:v>
      </x:c>
      <x:c r="D17" s="9" t="str">
        <x:v>F1</x:v>
      </x:c>
      <x:c r="E17" s="12" t="n">
        <x:v>53.81680716943875</x:v>
      </x:c>
      <x:c r="F17" s="11" t="n">
        <x:v>47</x:v>
      </x:c>
      <x:c r="G17" s="9" t="str">
        <x:v>Exact match</x:v>
      </x:c>
      <x:c r="H17" s="12" t="n">
        <x:f>F17/C17*100</x:f>
        <x:v>47</x:v>
      </x:c>
      <x:c r="I17" s="16" t="n">
        <x:v>0.40040580000000003</x:v>
      </x:c>
      <x:c r="J17" s="16" t="n">
        <x:v>0.58551</x:v>
      </x:c>
      <x:c r="K17" s="16" t="n">
        <x:v>0</x:v>
      </x:c>
      <x:c r="L17" s="16" t="n">
        <x:f>I17+J17</x:f>
        <x:v>0.9859158</x:v>
      </x:c>
      <x:c r="M17" s="16" t="n">
        <x:f>L17/C17</x:f>
        <x:v>0.009859158</x:v>
      </x:c>
      <x:c r="N17" s="16" t="n">
        <x:f>IF(OR(F17="",F17=0),"",L17/F17)</x:f>
        <x:v>0.020976931914893616</x:v>
      </x:c>
    </x:row>
    <x:row r="18" ht="30" customHeight="1">
      <x:c r="A18" s="9" t="str">
        <x:v>2WikiMultiHopQA</x:v>
      </x:c>
      <x:c r="B18" s="9" t="str">
        <x:v>A</x:v>
      </x:c>
      <x:c r="C18" s="11" t="n">
        <x:v>100</x:v>
      </x:c>
      <x:c r="D18" s="9" t="str">
        <x:v>F1</x:v>
      </x:c>
      <x:c r="E18" s="12" t="n">
        <x:v>57.183264476359106</x:v>
      </x:c>
      <x:c r="F18" s="11" t="n">
        <x:v>51</x:v>
      </x:c>
      <x:c r="G18" s="9" t="str">
        <x:v>Exact match</x:v>
      </x:c>
      <x:c r="H18" s="12" t="n">
        <x:f>F18/C18*100</x:f>
        <x:v>51</x:v>
      </x:c>
      <x:c r="I18" s="16" t="n">
        <x:v>0</x:v>
      </x:c>
      <x:c r="J18" s="16" t="n">
        <x:v>0.55157625</x:v>
      </x:c>
      <x:c r="K18" s="16" t="n">
        <x:v>0</x:v>
      </x:c>
      <x:c r="L18" s="16" t="n">
        <x:f>I18+J18</x:f>
        <x:v>0.55157625</x:v>
      </x:c>
      <x:c r="M18" s="16" t="n">
        <x:f>L18/C18</x:f>
        <x:v>0.0055157625</x:v>
      </x:c>
      <x:c r="N18" s="16" t="n">
        <x:f>IF(OR(F18="",F18=0),"",L18/F18)</x:f>
        <x:v>0.010815220588235294</x:v>
      </x:c>
    </x:row>
    <x:row r="19" ht="30" customHeight="1">
      <x:c r="A19" s="9" t="str">
        <x:v>2WikiMultiHopQA</x:v>
      </x:c>
      <x:c r="B19" s="9" t="str">
        <x:v>B</x:v>
      </x:c>
      <x:c r="C19" s="11" t="n">
        <x:v>100</x:v>
      </x:c>
      <x:c r="D19" s="9" t="str">
        <x:v>F1</x:v>
      </x:c>
      <x:c r="E19" s="12" t="n">
        <x:v>58.05641025641025</x:v>
      </x:c>
      <x:c r="F19" s="11" t="n">
        <x:v>53</x:v>
      </x:c>
      <x:c r="G19" s="9" t="str">
        <x:v>Exact match</x:v>
      </x:c>
      <x:c r="H19" s="12" t="n">
        <x:f>F19/C19*100</x:f>
        <x:v>53</x:v>
      </x:c>
      <x:c r="I19" s="16" t="n">
        <x:v>0.3431732</x:v>
      </x:c>
      <x:c r="J19" s="16" t="n">
        <x:v>0.559002</x:v>
      </x:c>
      <x:c r="K19" s="16" t="n">
        <x:v>0</x:v>
      </x:c>
      <x:c r="L19" s="16" t="n">
        <x:f>I19+J19</x:f>
        <x:v>0.9021752000000001</x:v>
      </x:c>
      <x:c r="M19" s="16" t="n">
        <x:f>L19/C19</x:f>
        <x:v>0.009021752000000001</x:v>
      </x:c>
      <x:c r="N19" s="16" t="n">
        <x:f>IF(OR(F19="",F19=0),"",L19/F19)</x:f>
        <x:v>0.01702217358490566</x:v>
      </x:c>
    </x:row>
    <x:row r="20" ht="30" customHeight="1">
      <x:c r="A20" s="9" t="str">
        <x:v>2WikiMultiHopQA</x:v>
      </x:c>
      <x:c r="B20" s="9" t="str">
        <x:v>C</x:v>
      </x:c>
      <x:c r="C20" s="11" t="n">
        <x:v>100</x:v>
      </x:c>
      <x:c r="D20" s="9" t="str">
        <x:v>F1</x:v>
      </x:c>
      <x:c r="E20" s="12" t="n">
        <x:v>60.889743589743595</x:v>
      </x:c>
      <x:c r="F20" s="11" t="n">
        <x:v>56</x:v>
      </x:c>
      <x:c r="G20" s="9" t="str">
        <x:v>Exact match</x:v>
      </x:c>
      <x:c r="H20" s="12" t="n">
        <x:f>F20/C20*100</x:f>
        <x:v>56.00000000000001</x:v>
      </x:c>
      <x:c r="I20" s="16" t="n">
        <x:v>0.3431732</x:v>
      </x:c>
      <x:c r="J20" s="16" t="n">
        <x:v>0.5587365</x:v>
      </x:c>
      <x:c r="K20" s="16" t="n">
        <x:v>0</x:v>
      </x:c>
      <x:c r="L20" s="16" t="n">
        <x:f>I20+J20</x:f>
        <x:v>0.9019097</x:v>
      </x:c>
      <x:c r="M20" s="16" t="n">
        <x:f>L20/C20</x:f>
        <x:v>0.009019097</x:v>
      </x:c>
      <x:c r="N20" s="16" t="n">
        <x:f>IF(OR(F20="",F20=0),"",L20/F20)</x:f>
        <x:v>0.016105530357142857</x:v>
      </x:c>
    </x:row>
    <x:row r="21" ht="30" customHeight="1">
      <x:c r="A21" s="9" t="str">
        <x:v>2WikiMultiHopQA</x:v>
      </x:c>
      <x:c r="B21" s="9" t="str">
        <x:v>D</x:v>
      </x:c>
      <x:c r="C21" s="11" t="n">
        <x:v>100</x:v>
      </x:c>
      <x:c r="D21" s="9" t="str">
        <x:v>F1</x:v>
      </x:c>
      <x:c r="E21" s="12" t="n">
        <x:v>55.406410256410254</x:v>
      </x:c>
      <x:c r="F21" s="11" t="n">
        <x:v>51</x:v>
      </x:c>
      <x:c r="G21" s="9" t="str">
        <x:v>Exact match</x:v>
      </x:c>
      <x:c r="H21" s="12" t="n">
        <x:f>F21/C21*100</x:f>
        <x:v>51</x:v>
      </x:c>
      <x:c r="I21" s="16" t="n">
        <x:v>0.3431732</x:v>
      </x:c>
      <x:c r="J21" s="16" t="n">
        <x:v>0.56764875</x:v>
      </x:c>
      <x:c r="K21" s="16" t="n">
        <x:v>0</x:v>
      </x:c>
      <x:c r="L21" s="16" t="n">
        <x:f>I21+J21</x:f>
        <x:v>0.9108219500000001</x:v>
      </x:c>
      <x:c r="M21" s="16" t="n">
        <x:f>L21/C21</x:f>
        <x:v>0.0091082195</x:v>
      </x:c>
      <x:c r="N21" s="16" t="n">
        <x:f>IF(OR(F21="",F21=0),"",L21/F21)</x:f>
        <x:v>0.01785925392156863</x:v>
      </x:c>
    </x:row>
    <x:row r="22" ht="30" customHeight="1">
      <x:c r="A22" s="9" t="str">
        <x:v>LongMemEval S</x:v>
      </x:c>
      <x:c r="B22" s="9" t="str">
        <x:v>A</x:v>
      </x:c>
      <x:c r="C22" s="11" t="n">
        <x:v>100</x:v>
      </x:c>
      <x:c r="D22" s="9" t="str">
        <x:v>Judge accuracy</x:v>
      </x:c>
      <x:c r="E22" s="12" t="n">
        <x:v>72</x:v>
      </x:c>
      <x:c r="F22" s="11" t="n">
        <x:v>72</x:v>
      </x:c>
      <x:c r="G22" s="9" t="str">
        <x:v>Binary</x:v>
      </x:c>
      <x:c r="H22" s="12"/>
      <x:c r="I22" s="16" t="n">
        <x:v>0</x:v>
      </x:c>
      <x:c r="J22" s="16" t="n">
        <x:v>0.51836325</x:v>
      </x:c>
      <x:c r="K22" s="16" t="n">
        <x:v>0.0017285</x:v>
      </x:c>
      <x:c r="L22" s="16" t="n">
        <x:f>I22+J22</x:f>
        <x:v>0.51836325</x:v>
      </x:c>
      <x:c r="M22" s="16" t="n">
        <x:f>L22/C22</x:f>
        <x:v>0.0051836325</x:v>
      </x:c>
      <x:c r="N22" s="16" t="n">
        <x:f>IF(OR(F22="",F22=0),"",L22/F22)</x:f>
        <x:v>0.007199489583333334</x:v>
      </x:c>
    </x:row>
    <x:row r="23" ht="30" customHeight="1">
      <x:c r="A23" s="9" t="str">
        <x:v>LongMemEval S</x:v>
      </x:c>
      <x:c r="B23" s="9" t="str">
        <x:v>B</x:v>
      </x:c>
      <x:c r="C23" s="11" t="n">
        <x:v>100</x:v>
      </x:c>
      <x:c r="D23" s="9" t="str">
        <x:v>Judge accuracy</x:v>
      </x:c>
      <x:c r="E23" s="12" t="n">
        <x:v>75</x:v>
      </x:c>
      <x:c r="F23" s="11" t="n">
        <x:v>75</x:v>
      </x:c>
      <x:c r="G23" s="9" t="str">
        <x:v>Binary</x:v>
      </x:c>
      <x:c r="H23" s="12"/>
      <x:c r="I23" s="16" t="n">
        <x:v>0.46058960000000004</x:v>
      </x:c>
      <x:c r="J23" s="16" t="n">
        <x:v>0.51532275</x:v>
      </x:c>
      <x:c r="K23" s="16" t="n">
        <x:v>0.0016958000000000001</x:v>
      </x:c>
      <x:c r="L23" s="16" t="n">
        <x:f>I23+J23</x:f>
        <x:v>0.9759123500000001</x:v>
      </x:c>
      <x:c r="M23" s="16" t="n">
        <x:f>L23/C23</x:f>
        <x:v>0.009759123500000001</x:v>
      </x:c>
      <x:c r="N23" s="16" t="n">
        <x:f>IF(OR(F23="",F23=0),"",L23/F23)</x:f>
        <x:v>0.013012164666666668</x:v>
      </x:c>
    </x:row>
    <x:row r="24" ht="30" customHeight="1">
      <x:c r="A24" s="9" t="str">
        <x:v>LongMemEval S</x:v>
      </x:c>
      <x:c r="B24" s="9" t="str">
        <x:v>C</x:v>
      </x:c>
      <x:c r="C24" s="11" t="n">
        <x:v>100</x:v>
      </x:c>
      <x:c r="D24" s="9" t="str">
        <x:v>Judge accuracy</x:v>
      </x:c>
      <x:c r="E24" s="12" t="n">
        <x:v>74</x:v>
      </x:c>
      <x:c r="F24" s="11" t="n">
        <x:v>74</x:v>
      </x:c>
      <x:c r="G24" s="9" t="str">
        <x:v>Binary</x:v>
      </x:c>
      <x:c r="H24" s="12"/>
      <x:c r="I24" s="16" t="n">
        <x:v>0.46058960000000004</x:v>
      </x:c>
      <x:c r="J24" s="16" t="n">
        <x:v>0.51998475</x:v>
      </x:c>
      <x:c r="K24" s="16" t="n">
        <x:v>0.0017329000000000001</x:v>
      </x:c>
      <x:c r="L24" s="16" t="n">
        <x:f>I24+J24</x:f>
        <x:v>0.98057435</x:v>
      </x:c>
      <x:c r="M24" s="16" t="n">
        <x:f>L24/C24</x:f>
        <x:v>0.0098057435</x:v>
      </x:c>
      <x:c r="N24" s="16" t="n">
        <x:f>IF(OR(F24="",F24=0),"",L24/F24)</x:f>
        <x:v>0.01325100472972973</x:v>
      </x:c>
    </x:row>
    <x:row r="25" ht="30" customHeight="1">
      <x:c r="A25" s="9" t="str">
        <x:v>LongMemEval S</x:v>
      </x:c>
      <x:c r="B25" s="9" t="str">
        <x:v>D</x:v>
      </x:c>
      <x:c r="C25" s="11" t="n">
        <x:v>100</x:v>
      </x:c>
      <x:c r="D25" s="9" t="str">
        <x:v>Judge accuracy</x:v>
      </x:c>
      <x:c r="E25" s="12" t="n">
        <x:v>75</x:v>
      </x:c>
      <x:c r="F25" s="11" t="n">
        <x:v>75</x:v>
      </x:c>
      <x:c r="G25" s="9" t="str">
        <x:v>Binary</x:v>
      </x:c>
      <x:c r="H25" s="12"/>
      <x:c r="I25" s="16" t="n">
        <x:v>0.46058960000000004</x:v>
      </x:c>
      <x:c r="J25" s="16" t="n">
        <x:v>0.51925125</x:v>
      </x:c>
      <x:c r="K25" s="16" t="n">
        <x:v>0.0017308</x:v>
      </x:c>
      <x:c r="L25" s="16" t="n">
        <x:f>I25+J25</x:f>
        <x:v>0.9798408500000001</x:v>
      </x:c>
      <x:c r="M25" s="16" t="n">
        <x:f>L25/C25</x:f>
        <x:v>0.009798408500000001</x:v>
      </x:c>
      <x:c r="N25" s="16" t="n">
        <x:f>IF(OR(F25="",F25=0),"",L25/F25)</x:f>
        <x:v>0.013064544666666667</x:v>
      </x:c>
    </x:row>
    <x:row r="26" ht="30" customHeight="1">
      <x:c r="A26" s="9" t="str">
        <x:v>LongMemEval oracle</x:v>
      </x:c>
      <x:c r="B26" s="9" t="str">
        <x:v>A</x:v>
      </x:c>
      <x:c r="C26" s="11" t="n">
        <x:v>100</x:v>
      </x:c>
      <x:c r="D26" s="9" t="str">
        <x:v>Judge accuracy</x:v>
      </x:c>
      <x:c r="E26" s="12" t="n">
        <x:v>76</x:v>
      </x:c>
      <x:c r="F26" s="11" t="n">
        <x:v>76</x:v>
      </x:c>
      <x:c r="G26" s="9" t="str">
        <x:v>Binary</x:v>
      </x:c>
      <x:c r="H26" s="12"/>
      <x:c r="I26" s="16" t="n">
        <x:v>0</x:v>
      </x:c>
      <x:c r="J26" s="16" t="n">
        <x:v>0.47522625</x:v>
      </x:c>
      <x:c r="K26" s="16" t="n">
        <x:v>0.0017475000000000001</x:v>
      </x:c>
      <x:c r="L26" s="16" t="n">
        <x:f>I26+J26</x:f>
        <x:v>0.47522625</x:v>
      </x:c>
      <x:c r="M26" s="16" t="n">
        <x:f>L26/C26</x:f>
        <x:v>0.0047522625</x:v>
      </x:c>
      <x:c r="N26" s="16" t="n">
        <x:f>IF(OR(F26="",F26=0),"",L26/F26)</x:f>
        <x:v>0.006252976973684211</x:v>
      </x:c>
    </x:row>
    <x:row r="27" ht="30" customHeight="1">
      <x:c r="A27" s="9" t="str">
        <x:v>LongMemEval oracle</x:v>
      </x:c>
      <x:c r="B27" s="9" t="str">
        <x:v>B</x:v>
      </x:c>
      <x:c r="C27" s="11" t="n">
        <x:v>100</x:v>
      </x:c>
      <x:c r="D27" s="9" t="str">
        <x:v>Judge accuracy</x:v>
      </x:c>
      <x:c r="E27" s="12" t="n">
        <x:v>74</x:v>
      </x:c>
      <x:c r="F27" s="11" t="n">
        <x:v>74</x:v>
      </x:c>
      <x:c r="G27" s="9" t="str">
        <x:v>Binary</x:v>
      </x:c>
      <x:c r="H27" s="12"/>
      <x:c r="I27" s="16" t="n">
        <x:v>0.47036320000000004</x:v>
      </x:c>
      <x:c r="J27" s="16" t="n">
        <x:v>0.4695945</x:v>
      </x:c>
      <x:c r="K27" s="16" t="n">
        <x:v>0.0017298</x:v>
      </x:c>
      <x:c r="L27" s="16" t="n">
        <x:f>I27+J27</x:f>
        <x:v>0.9399577000000001</x:v>
      </x:c>
      <x:c r="M27" s="16" t="n">
        <x:f>L27/C27</x:f>
        <x:v>0.009399577000000001</x:v>
      </x:c>
      <x:c r="N27" s="16" t="n">
        <x:f>IF(OR(F27="",F27=0),"",L27/F27)</x:f>
        <x:v>0.012702131081081083</x:v>
      </x:c>
    </x:row>
    <x:row r="28" ht="30" customHeight="1">
      <x:c r="A28" s="9" t="str">
        <x:v>LongMemEval oracle</x:v>
      </x:c>
      <x:c r="B28" s="9" t="str">
        <x:v>C</x:v>
      </x:c>
      <x:c r="C28" s="11" t="n">
        <x:v>100</x:v>
      </x:c>
      <x:c r="D28" s="9" t="str">
        <x:v>Judge accuracy</x:v>
      </x:c>
      <x:c r="E28" s="12" t="n">
        <x:v>80</x:v>
      </x:c>
      <x:c r="F28" s="11" t="n">
        <x:v>80</x:v>
      </x:c>
      <x:c r="G28" s="9" t="str">
        <x:v>Binary</x:v>
      </x:c>
      <x:c r="H28" s="12"/>
      <x:c r="I28" s="16" t="n">
        <x:v>0.47036320000000004</x:v>
      </x:c>
      <x:c r="J28" s="16" t="n">
        <x:v>0.483168</x:v>
      </x:c>
      <x:c r="K28" s="16" t="n">
        <x:v>0.0017000000000000001</x:v>
      </x:c>
      <x:c r="L28" s="16" t="n">
        <x:f>I28+J28</x:f>
        <x:v>0.9535312</x:v>
      </x:c>
      <x:c r="M28" s="16" t="n">
        <x:f>L28/C28</x:f>
        <x:v>0.009535312</x:v>
      </x:c>
      <x:c r="N28" s="16" t="n">
        <x:f>IF(OR(F28="",F28=0),"",L28/F28)</x:f>
        <x:v>0.01191914</x:v>
      </x:c>
    </x:row>
    <x:row r="29" ht="30" customHeight="1">
      <x:c r="A29" s="9" t="str">
        <x:v>LongMemEval oracle</x:v>
      </x:c>
      <x:c r="B29" s="9" t="str">
        <x:v>D</x:v>
      </x:c>
      <x:c r="C29" s="11" t="n">
        <x:v>100</x:v>
      </x:c>
      <x:c r="D29" s="9" t="str">
        <x:v>Judge accuracy</x:v>
      </x:c>
      <x:c r="E29" s="12" t="n">
        <x:v>76</x:v>
      </x:c>
      <x:c r="F29" s="11" t="n">
        <x:v>76</x:v>
      </x:c>
      <x:c r="G29" s="9" t="str">
        <x:v>Binary</x:v>
      </x:c>
      <x:c r="H29" s="12"/>
      <x:c r="I29" s="16" t="n">
        <x:v>0.47036320000000004</x:v>
      </x:c>
      <x:c r="J29" s="16" t="n">
        <x:v>0.4860405</x:v>
      </x:c>
      <x:c r="K29" s="16" t="n">
        <x:v>0.0017185</x:v>
      </x:c>
      <x:c r="L29" s="16" t="n">
        <x:f>I29+J29</x:f>
        <x:v>0.9564037000000001</x:v>
      </x:c>
      <x:c r="M29" s="16" t="n">
        <x:f>L29/C29</x:f>
        <x:v>0.009564037000000001</x:v>
      </x:c>
      <x:c r="N29" s="16" t="n">
        <x:f>IF(OR(F29="",F29=0),"",L29/F29)</x:f>
        <x:v>0.012584259210526317</x:v>
      </x:c>
    </x:row>
    <x:row r="30" ht="30" customHeight="1">
      <x:c r="A30" s="9" t="str">
        <x:v>MultiHop-RAG</x:v>
      </x:c>
      <x:c r="B30" s="9" t="str">
        <x:v>A</x:v>
      </x:c>
      <x:c r="C30" s="11" t="n">
        <x:v>100</x:v>
      </x:c>
      <x:c r="D30" s="9" t="str">
        <x:v>Judge accuracy</x:v>
      </x:c>
      <x:c r="E30" s="12" t="n">
        <x:v>53</x:v>
      </x:c>
      <x:c r="F30" s="11" t="n">
        <x:v>53</x:v>
      </x:c>
      <x:c r="G30" s="9" t="str">
        <x:v>Binary</x:v>
      </x:c>
      <x:c r="H30" s="12"/>
      <x:c r="I30" s="16" t="n">
        <x:v>0</x:v>
      </x:c>
      <x:c r="J30" s="16" t="n">
        <x:v>0.53987325</x:v>
      </x:c>
      <x:c r="K30" s="16" t="n">
        <x:v>0.0013366</x:v>
      </x:c>
      <x:c r="L30" s="16" t="n">
        <x:f>I30+J30</x:f>
        <x:v>0.53987325</x:v>
      </x:c>
      <x:c r="M30" s="16" t="n">
        <x:f>L30/C30</x:f>
        <x:v>0.0053987325</x:v>
      </x:c>
      <x:c r="N30" s="16" t="n">
        <x:f>IF(OR(F30="",F30=0),"",L30/F30)</x:f>
        <x:v>0.010186287735849056</x:v>
      </x:c>
    </x:row>
    <x:row r="31" ht="30" customHeight="1">
      <x:c r="A31" s="9" t="str">
        <x:v>MultiHop-RAG</x:v>
      </x:c>
      <x:c r="B31" s="9" t="str">
        <x:v>B</x:v>
      </x:c>
      <x:c r="C31" s="11" t="n">
        <x:v>100</x:v>
      </x:c>
      <x:c r="D31" s="9" t="str">
        <x:v>Judge accuracy</x:v>
      </x:c>
      <x:c r="E31" s="12" t="n">
        <x:v>54</x:v>
      </x:c>
      <x:c r="F31" s="11" t="n">
        <x:v>54</x:v>
      </x:c>
      <x:c r="G31" s="9" t="str">
        <x:v>Binary</x:v>
      </x:c>
      <x:c r="H31" s="12"/>
      <x:c r="I31" s="16" t="n">
        <x:v>0.3982582</x:v>
      </x:c>
      <x:c r="J31" s="16" t="n">
        <x:v>0.5491905</x:v>
      </x:c>
      <x:c r="K31" s="16" t="n">
        <x:v>0.0013235</x:v>
      </x:c>
      <x:c r="L31" s="16" t="n">
        <x:f>I31+J31</x:f>
        <x:v>0.9474487</x:v>
      </x:c>
      <x:c r="M31" s="16" t="n">
        <x:f>L31/C31</x:f>
        <x:v>0.009474487</x:v>
      </x:c>
      <x:c r="N31" s="16" t="n">
        <x:f>IF(OR(F31="",F31=0),"",L31/F31)</x:f>
        <x:v>0.017545346296296296</x:v>
      </x:c>
    </x:row>
    <x:row r="32" ht="30" customHeight="1">
      <x:c r="A32" s="9" t="str">
        <x:v>MultiHop-RAG</x:v>
      </x:c>
      <x:c r="B32" s="9" t="str">
        <x:v>C</x:v>
      </x:c>
      <x:c r="C32" s="11" t="n">
        <x:v>100</x:v>
      </x:c>
      <x:c r="D32" s="9" t="str">
        <x:v>Judge accuracy</x:v>
      </x:c>
      <x:c r="E32" s="12" t="n">
        <x:v>56.00000000000001</x:v>
      </x:c>
      <x:c r="F32" s="11" t="n">
        <x:v>56</x:v>
      </x:c>
      <x:c r="G32" s="9" t="str">
        <x:v>Binary</x:v>
      </x:c>
      <x:c r="H32" s="12"/>
      <x:c r="I32" s="16" t="n">
        <x:v>0.3982582</x:v>
      </x:c>
      <x:c r="J32" s="16" t="n">
        <x:v>0.54845175</x:v>
      </x:c>
      <x:c r="K32" s="16" t="n">
        <x:v>0.0013321000000000001</x:v>
      </x:c>
      <x:c r="L32" s="16" t="n">
        <x:f>I32+J32</x:f>
        <x:v>0.94670995</x:v>
      </x:c>
      <x:c r="M32" s="16" t="n">
        <x:f>L32/C32</x:f>
        <x:v>0.0094670995</x:v>
      </x:c>
      <x:c r="N32" s="16" t="n">
        <x:f>IF(OR(F32="",F32=0),"",L32/F32)</x:f>
        <x:v>0.01690553482142857</x:v>
      </x:c>
    </x:row>
    <x:row r="33" ht="30" customHeight="1">
      <x:c r="A33" s="9" t="str">
        <x:v>MultiHop-RAG</x:v>
      </x:c>
      <x:c r="B33" s="9" t="str">
        <x:v>D</x:v>
      </x:c>
      <x:c r="C33" s="11" t="n">
        <x:v>100</x:v>
      </x:c>
      <x:c r="D33" s="9" t="str">
        <x:v>Judge accuracy</x:v>
      </x:c>
      <x:c r="E33" s="12" t="n">
        <x:v>56.99999999999999</x:v>
      </x:c>
      <x:c r="F33" s="11" t="n">
        <x:v>57</x:v>
      </x:c>
      <x:c r="G33" s="9" t="str">
        <x:v>Binary</x:v>
      </x:c>
      <x:c r="H33" s="12"/>
      <x:c r="I33" s="16" t="n">
        <x:v>0.3982582</x:v>
      </x:c>
      <x:c r="J33" s="16" t="n">
        <x:v>0.54316125</x:v>
      </x:c>
      <x:c r="K33" s="16" t="n">
        <x:v>0.0013279000000000001</x:v>
      </x:c>
      <x:c r="L33" s="16" t="n">
        <x:f>I33+J33</x:f>
        <x:v>0.94141945</x:v>
      </x:c>
      <x:c r="M33" s="16" t="n">
        <x:f>L33/C33</x:f>
        <x:v>0.0094141945</x:v>
      </x:c>
      <x:c r="N33" s="16" t="n">
        <x:f>IF(OR(F33="",F33=0),"",L33/F33)</x:f>
        <x:v>0.016516130701754388</x:v>
      </x:c>
    </x:row>
    <x:row r="34" ht="30" customHeight="1">
      <x:c r="A34" s="9" t="str">
        <x:v>FactConsolidation SH 6K</x:v>
      </x:c>
      <x:c r="B34" s="9" t="str">
        <x:v>A</x:v>
      </x:c>
      <x:c r="C34" s="11" t="n">
        <x:v>100</x:v>
      </x:c>
      <x:c r="D34" s="9" t="str">
        <x:v>Substring EM</x:v>
      </x:c>
      <x:c r="E34" s="12" t="n">
        <x:v>100</x:v>
      </x:c>
      <x:c r="F34" s="11" t="n">
        <x:v>100</x:v>
      </x:c>
      <x:c r="G34" s="9" t="str">
        <x:v>Binary</x:v>
      </x:c>
      <x:c r="H34" s="12"/>
      <x:c r="I34" s="16" t="n">
        <x:v>0</x:v>
      </x:c>
      <x:c r="J34" s="16" t="n">
        <x:v>0.4503315</x:v>
      </x:c>
      <x:c r="K34" s="16" t="n">
        <x:v>0</x:v>
      </x:c>
      <x:c r="L34" s="16" t="n">
        <x:f>I34+J34</x:f>
        <x:v>0.4503315</x:v>
      </x:c>
      <x:c r="M34" s="16" t="n">
        <x:f>L34/C34</x:f>
        <x:v>0.004503315</x:v>
      </x:c>
      <x:c r="N34" s="16" t="n">
        <x:f>IF(OR(F34="",F34=0),"",L34/F34)</x:f>
        <x:v>0.004503315</x:v>
      </x:c>
    </x:row>
    <x:row r="35" ht="30" customHeight="1">
      <x:c r="A35" s="9" t="str">
        <x:v>FactConsolidation SH 6K</x:v>
      </x:c>
      <x:c r="B35" s="9" t="str">
        <x:v>B</x:v>
      </x:c>
      <x:c r="C35" s="11" t="n">
        <x:v>100</x:v>
      </x:c>
      <x:c r="D35" s="9" t="str">
        <x:v>Substring EM</x:v>
      </x:c>
      <x:c r="E35" s="12" t="n">
        <x:v>87</x:v>
      </x:c>
      <x:c r="F35" s="11" t="n">
        <x:v>87</x:v>
      </x:c>
      <x:c r="G35" s="9" t="str">
        <x:v>Binary</x:v>
      </x:c>
      <x:c r="H35" s="12"/>
      <x:c r="I35" s="16" t="n">
        <x:v>0.0176966</x:v>
      </x:c>
      <x:c r="J35" s="16" t="n">
        <x:v>0.442725</x:v>
      </x:c>
      <x:c r="K35" s="16" t="n">
        <x:v>0</x:v>
      </x:c>
      <x:c r="L35" s="16" t="n">
        <x:f>I35+J35</x:f>
        <x:v>0.4604216</x:v>
      </x:c>
      <x:c r="M35" s="16" t="n">
        <x:f>L35/C35</x:f>
        <x:v>0.0046042159999999995</x:v>
      </x:c>
      <x:c r="N35" s="16" t="n">
        <x:f>IF(OR(F35="",F35=0),"",L35/F35)</x:f>
        <x:v>0.005292202298850575</x:v>
      </x:c>
    </x:row>
    <x:row r="36" ht="30" customHeight="1">
      <x:c r="A36" s="9" t="str">
        <x:v>FactConsolidation SH 6K</x:v>
      </x:c>
      <x:c r="B36" s="9" t="str">
        <x:v>C</x:v>
      </x:c>
      <x:c r="C36" s="11" t="n">
        <x:v>100</x:v>
      </x:c>
      <x:c r="D36" s="9" t="str">
        <x:v>Substring EM</x:v>
      </x:c>
      <x:c r="E36" s="12" t="n">
        <x:v>84</x:v>
      </x:c>
      <x:c r="F36" s="11" t="n">
        <x:v>84</x:v>
      </x:c>
      <x:c r="G36" s="9" t="str">
        <x:v>Binary</x:v>
      </x:c>
      <x:c r="H36" s="12"/>
      <x:c r="I36" s="16" t="n">
        <x:v>0.0176966</x:v>
      </x:c>
      <x:c r="J36" s="16" t="n">
        <x:v>0.46050675</x:v>
      </x:c>
      <x:c r="K36" s="16" t="n">
        <x:v>0</x:v>
      </x:c>
      <x:c r="L36" s="16" t="n">
        <x:f>I36+J36</x:f>
        <x:v>0.47820335</x:v>
      </x:c>
      <x:c r="M36" s="16" t="n">
        <x:f>L36/C36</x:f>
        <x:v>0.0047820335</x:v>
      </x:c>
      <x:c r="N36" s="16" t="n">
        <x:f>IF(OR(F36="",F36=0),"",L36/F36)</x:f>
        <x:v>0.005692897023809524</x:v>
      </x:c>
    </x:row>
    <x:row r="37" ht="30" customHeight="1">
      <x:c r="A37" s="9" t="str">
        <x:v>FactConsolidation SH 6K</x:v>
      </x:c>
      <x:c r="B37" s="9" t="str">
        <x:v>D</x:v>
      </x:c>
      <x:c r="C37" s="11" t="n">
        <x:v>100</x:v>
      </x:c>
      <x:c r="D37" s="9" t="str">
        <x:v>Substring EM</x:v>
      </x:c>
      <x:c r="E37" s="12" t="n">
        <x:v>86</x:v>
      </x:c>
      <x:c r="F37" s="11" t="n">
        <x:v>86</x:v>
      </x:c>
      <x:c r="G37" s="9" t="str">
        <x:v>Binary</x:v>
      </x:c>
      <x:c r="H37" s="12"/>
      <x:c r="I37" s="16" t="n">
        <x:v>0.0176966</x:v>
      </x:c>
      <x:c r="J37" s="16" t="n">
        <x:v>0.45171075</x:v>
      </x:c>
      <x:c r="K37" s="16" t="n">
        <x:v>0</x:v>
      </x:c>
      <x:c r="L37" s="16" t="n">
        <x:f>I37+J37</x:f>
        <x:v>0.46940735</x:v>
      </x:c>
      <x:c r="M37" s="16" t="n">
        <x:f>L37/C37</x:f>
        <x:v>0.0046940735</x:v>
      </x:c>
      <x:c r="N37" s="16" t="n">
        <x:f>IF(OR(F37="",F37=0),"",L37/F37)</x:f>
        <x:v>0.005458225</x:v>
      </x:c>
    </x:row>
    <x:row r="38" ht="30" customHeight="1">
      <x:c r="A38" s="9" t="str">
        <x:v>FactConsolidation MH 6K</x:v>
      </x:c>
      <x:c r="B38" s="9" t="str">
        <x:v>A</x:v>
      </x:c>
      <x:c r="C38" s="11" t="n">
        <x:v>100</x:v>
      </x:c>
      <x:c r="D38" s="9" t="str">
        <x:v>Substring EM</x:v>
      </x:c>
      <x:c r="E38" s="12" t="n">
        <x:v>60</x:v>
      </x:c>
      <x:c r="F38" s="11" t="n">
        <x:v>60</x:v>
      </x:c>
      <x:c r="G38" s="9" t="str">
        <x:v>Binary</x:v>
      </x:c>
      <x:c r="H38" s="12"/>
      <x:c r="I38" s="16" t="n">
        <x:v>0</x:v>
      </x:c>
      <x:c r="J38" s="16" t="n">
        <x:v>0.58445775</x:v>
      </x:c>
      <x:c r="K38" s="16" t="n">
        <x:v>0</x:v>
      </x:c>
      <x:c r="L38" s="16" t="n">
        <x:f>I38+J38</x:f>
        <x:v>0.58445775</x:v>
      </x:c>
      <x:c r="M38" s="16" t="n">
        <x:f>L38/C38</x:f>
        <x:v>0.0058445775</x:v>
      </x:c>
      <x:c r="N38" s="16" t="n">
        <x:f>IF(OR(F38="",F38=0),"",L38/F38)</x:f>
        <x:v>0.0097409625</x:v>
      </x:c>
    </x:row>
    <x:row r="39" ht="30" customHeight="1">
      <x:c r="A39" s="9" t="str">
        <x:v>FactConsolidation MH 6K</x:v>
      </x:c>
      <x:c r="B39" s="9" t="str">
        <x:v>B</x:v>
      </x:c>
      <x:c r="C39" s="11" t="n">
        <x:v>100</x:v>
      </x:c>
      <x:c r="D39" s="9" t="str">
        <x:v>Substring EM</x:v>
      </x:c>
      <x:c r="E39" s="12" t="n">
        <x:v>56.99999999999999</x:v>
      </x:c>
      <x:c r="F39" s="11" t="n">
        <x:v>57</x:v>
      </x:c>
      <x:c r="G39" s="9" t="str">
        <x:v>Binary</x:v>
      </x:c>
      <x:c r="H39" s="12"/>
      <x:c r="I39" s="16" t="n">
        <x:v>0.0172942</x:v>
      </x:c>
      <x:c r="J39" s="16" t="n">
        <x:v>0.567822</x:v>
      </x:c>
      <x:c r="K39" s="16" t="n">
        <x:v>0</x:v>
      </x:c>
      <x:c r="L39" s="16" t="n">
        <x:f>I39+J39</x:f>
        <x:v>0.5851162000000001</x:v>
      </x:c>
      <x:c r="M39" s="16" t="n">
        <x:f>L39/C39</x:f>
        <x:v>0.005851162000000001</x:v>
      </x:c>
      <x:c r="N39" s="16" t="n">
        <x:f>IF(OR(F39="",F39=0),"",L39/F39)</x:f>
        <x:v>0.010265196491228071</x:v>
      </x:c>
    </x:row>
    <x:row r="40" ht="30" customHeight="1">
      <x:c r="A40" s="9" t="str">
        <x:v>FactConsolidation MH 6K</x:v>
      </x:c>
      <x:c r="B40" s="9" t="str">
        <x:v>C</x:v>
      </x:c>
      <x:c r="C40" s="11" t="n">
        <x:v>100</x:v>
      </x:c>
      <x:c r="D40" s="9" t="str">
        <x:v>Substring EM</x:v>
      </x:c>
      <x:c r="E40" s="12" t="n">
        <x:v>55.00000000000001</x:v>
      </x:c>
      <x:c r="F40" s="11" t="n">
        <x:v>55</x:v>
      </x:c>
      <x:c r="G40" s="9" t="str">
        <x:v>Binary</x:v>
      </x:c>
      <x:c r="H40" s="12"/>
      <x:c r="I40" s="16" t="n">
        <x:v>0.0172942</x:v>
      </x:c>
      <x:c r="J40" s="16" t="n">
        <x:v>0.57500475</x:v>
      </x:c>
      <x:c r="K40" s="16" t="n">
        <x:v>0</x:v>
      </x:c>
      <x:c r="L40" s="16" t="n">
        <x:f>I40+J40</x:f>
        <x:v>0.59229895</x:v>
      </x:c>
      <x:c r="M40" s="16" t="n">
        <x:f>L40/C40</x:f>
        <x:v>0.0059229895</x:v>
      </x:c>
      <x:c r="N40" s="16" t="n">
        <x:f>IF(OR(F40="",F40=0),"",L40/F40)</x:f>
        <x:v>0.010769071818181817</x:v>
      </x:c>
    </x:row>
    <x:row r="41" ht="30" customHeight="1">
      <x:c r="A41" s="9" t="str">
        <x:v>FactConsolidation MH 6K</x:v>
      </x:c>
      <x:c r="B41" s="9" t="str">
        <x:v>D</x:v>
      </x:c>
      <x:c r="C41" s="11" t="n">
        <x:v>100</x:v>
      </x:c>
      <x:c r="D41" s="9" t="str">
        <x:v>Substring EM</x:v>
      </x:c>
      <x:c r="E41" s="12" t="n">
        <x:v>59</x:v>
      </x:c>
      <x:c r="F41" s="11" t="n">
        <x:v>59</x:v>
      </x:c>
      <x:c r="G41" s="9" t="str">
        <x:v>Binary</x:v>
      </x:c>
      <x:c r="H41" s="12"/>
      <x:c r="I41" s="16" t="n">
        <x:v>0.0172942</x:v>
      </x:c>
      <x:c r="J41" s="16" t="n">
        <x:v>0.56584725</x:v>
      </x:c>
      <x:c r="K41" s="16" t="n">
        <x:v>0</x:v>
      </x:c>
      <x:c r="L41" s="16" t="n">
        <x:f>I41+J41</x:f>
        <x:v>0.5831414500000001</x:v>
      </x:c>
      <x:c r="M41" s="16" t="n">
        <x:f>L41/C41</x:f>
        <x:v>0.005831414500000001</x:v>
      </x:c>
      <x:c r="N41" s="16" t="n">
        <x:f>IF(OR(F41="",F41=0),"",L41/F41)</x:f>
        <x:v>0.00988375338983051</x:v>
      </x:c>
    </x:row>
    <x:row r="42" ht="30" customHeight="1">
      <x:c r="A42" s="9" t="str">
        <x:v>FactConsolidation SH 32K</x:v>
      </x:c>
      <x:c r="B42" s="9" t="str">
        <x:v>A</x:v>
      </x:c>
      <x:c r="C42" s="11" t="n">
        <x:v>100</x:v>
      </x:c>
      <x:c r="D42" s="9" t="str">
        <x:v>Substring EM</x:v>
      </x:c>
      <x:c r="E42" s="12" t="n">
        <x:v>92</x:v>
      </x:c>
      <x:c r="F42" s="11" t="n">
        <x:v>92</x:v>
      </x:c>
      <x:c r="G42" s="9" t="str">
        <x:v>Binary</x:v>
      </x:c>
      <x:c r="H42" s="12"/>
      <x:c r="I42" s="16" t="n">
        <x:v>0</x:v>
      </x:c>
      <x:c r="J42" s="16" t="n">
        <x:v>0.4541235</x:v>
      </x:c>
      <x:c r="K42" s="16" t="n">
        <x:v>0</x:v>
      </x:c>
      <x:c r="L42" s="16" t="n">
        <x:f>I42+J42</x:f>
        <x:v>0.4541235</x:v>
      </x:c>
      <x:c r="M42" s="16" t="n">
        <x:f>L42/C42</x:f>
        <x:v>0.004541235</x:v>
      </x:c>
      <x:c r="N42" s="16" t="n">
        <x:f>IF(OR(F42="",F42=0),"",L42/F42)</x:f>
        <x:v>0.004936125</x:v>
      </x:c>
    </x:row>
    <x:row r="43" ht="30" customHeight="1">
      <x:c r="A43" s="9" t="str">
        <x:v>FactConsolidation SH 32K</x:v>
      </x:c>
      <x:c r="B43" s="9" t="str">
        <x:v>B</x:v>
      </x:c>
      <x:c r="C43" s="11" t="n">
        <x:v>100</x:v>
      </x:c>
      <x:c r="D43" s="9" t="str">
        <x:v>Substring EM</x:v>
      </x:c>
      <x:c r="E43" s="12" t="n">
        <x:v>92</x:v>
      </x:c>
      <x:c r="F43" s="11" t="n">
        <x:v>92</x:v>
      </x:c>
      <x:c r="G43" s="9" t="str">
        <x:v>Binary</x:v>
      </x:c>
      <x:c r="H43" s="12"/>
      <x:c r="I43" s="16" t="n">
        <x:v>0.09590850000000001</x:v>
      </x:c>
      <x:c r="J43" s="16" t="n">
        <x:v>0.45040425</x:v>
      </x:c>
      <x:c r="K43" s="16" t="n">
        <x:v>0</x:v>
      </x:c>
      <x:c r="L43" s="16" t="n">
        <x:f>I43+J43</x:f>
        <x:v>0.54631275</x:v>
      </x:c>
      <x:c r="M43" s="16" t="n">
        <x:f>L43/C43</x:f>
        <x:v>0.0054631275000000005</x:v>
      </x:c>
      <x:c r="N43" s="16" t="n">
        <x:f>IF(OR(F43="",F43=0),"",L43/F43)</x:f>
        <x:v>0.0059381820652173916</x:v>
      </x:c>
    </x:row>
    <x:row r="44" ht="30" customHeight="1">
      <x:c r="A44" s="9" t="str">
        <x:v>FactConsolidation SH 32K</x:v>
      </x:c>
      <x:c r="B44" s="9" t="str">
        <x:v>C</x:v>
      </x:c>
      <x:c r="C44" s="11" t="n">
        <x:v>100</x:v>
      </x:c>
      <x:c r="D44" s="9" t="str">
        <x:v>Substring EM</x:v>
      </x:c>
      <x:c r="E44" s="12" t="n">
        <x:v>79</x:v>
      </x:c>
      <x:c r="F44" s="11" t="n">
        <x:v>79</x:v>
      </x:c>
      <x:c r="G44" s="9" t="str">
        <x:v>Binary</x:v>
      </x:c>
      <x:c r="H44" s="12"/>
      <x:c r="I44" s="16" t="n">
        <x:v>0.09590850000000001</x:v>
      </x:c>
      <x:c r="J44" s="16" t="n">
        <x:v>0.4853415</x:v>
      </x:c>
      <x:c r="K44" s="16" t="n">
        <x:v>0</x:v>
      </x:c>
      <x:c r="L44" s="16" t="n">
        <x:f>I44+J44</x:f>
        <x:v>0.58125</x:v>
      </x:c>
      <x:c r="M44" s="16" t="n">
        <x:f>L44/C44</x:f>
        <x:v>0.005812500000000001</x:v>
      </x:c>
      <x:c r="N44" s="16" t="n">
        <x:f>IF(OR(F44="",F44=0),"",L44/F44)</x:f>
        <x:v>0.007357594936708861</x:v>
      </x:c>
    </x:row>
    <x:row r="45" ht="30" customHeight="1">
      <x:c r="A45" s="9" t="str">
        <x:v>FactConsolidation SH 32K</x:v>
      </x:c>
      <x:c r="B45" s="9" t="str">
        <x:v>D</x:v>
      </x:c>
      <x:c r="C45" s="11" t="n">
        <x:v>100</x:v>
      </x:c>
      <x:c r="D45" s="9" t="str">
        <x:v>Substring EM</x:v>
      </x:c>
      <x:c r="E45" s="12" t="n">
        <x:v>91</x:v>
      </x:c>
      <x:c r="F45" s="11" t="n">
        <x:v>91</x:v>
      </x:c>
      <x:c r="G45" s="9" t="str">
        <x:v>Binary</x:v>
      </x:c>
      <x:c r="H45" s="12"/>
      <x:c r="I45" s="16" t="n">
        <x:v>0.09590850000000001</x:v>
      </x:c>
      <x:c r="J45" s="16" t="n">
        <x:v>0.458844</x:v>
      </x:c>
      <x:c r="K45" s="16" t="n">
        <x:v>0</x:v>
      </x:c>
      <x:c r="L45" s="16" t="n">
        <x:f>I45+J45</x:f>
        <x:v>0.5547525</x:v>
      </x:c>
      <x:c r="M45" s="16" t="n">
        <x:f>L45/C45</x:f>
        <x:v>0.005547525</x:v>
      </x:c>
      <x:c r="N45" s="16" t="n">
        <x:f>IF(OR(F45="",F45=0),"",L45/F45)</x:f>
        <x:v>0.006096181318681318</x:v>
      </x:c>
    </x:row>
    <x:row r="46" ht="30" customHeight="1">
      <x:c r="A46" s="9" t="str">
        <x:v>FactConsolidation MH 32K</x:v>
      </x:c>
      <x:c r="B46" s="9" t="str">
        <x:v>A</x:v>
      </x:c>
      <x:c r="C46" s="11" t="n">
        <x:v>100</x:v>
      </x:c>
      <x:c r="D46" s="9" t="str">
        <x:v>Substring EM</x:v>
      </x:c>
      <x:c r="E46" s="12" t="n">
        <x:v>17</x:v>
      </x:c>
      <x:c r="F46" s="11" t="n">
        <x:v>17</x:v>
      </x:c>
      <x:c r="G46" s="9" t="str">
        <x:v>Binary</x:v>
      </x:c>
      <x:c r="H46" s="12"/>
      <x:c r="I46" s="16" t="n">
        <x:v>0</x:v>
      </x:c>
      <x:c r="J46" s="16" t="n">
        <x:v>0.61955625</x:v>
      </x:c>
      <x:c r="K46" s="16" t="n">
        <x:v>0</x:v>
      </x:c>
      <x:c r="L46" s="16" t="n">
        <x:f>I46+J46</x:f>
        <x:v>0.61955625</x:v>
      </x:c>
      <x:c r="M46" s="16" t="n">
        <x:f>L46/C46</x:f>
        <x:v>0.0061955625000000005</x:v>
      </x:c>
      <x:c r="N46" s="16" t="n">
        <x:f>IF(OR(F46="",F46=0),"",L46/F46)</x:f>
        <x:v>0.036444485294117646</x:v>
      </x:c>
    </x:row>
    <x:row r="47" ht="30" customHeight="1">
      <x:c r="A47" s="9" t="str">
        <x:v>FactConsolidation MH 32K</x:v>
      </x:c>
      <x:c r="B47" s="9" t="str">
        <x:v>B</x:v>
      </x:c>
      <x:c r="C47" s="11" t="n">
        <x:v>100</x:v>
      </x:c>
      <x:c r="D47" s="9" t="str">
        <x:v>Substring EM</x:v>
      </x:c>
      <x:c r="E47" s="12" t="n">
        <x:v>18</x:v>
      </x:c>
      <x:c r="F47" s="11" t="n">
        <x:v>18</x:v>
      </x:c>
      <x:c r="G47" s="9" t="str">
        <x:v>Binary</x:v>
      </x:c>
      <x:c r="H47" s="12"/>
      <x:c r="I47" s="16" t="n">
        <x:v>0.0950999</x:v>
      </x:c>
      <x:c r="J47" s="16" t="n">
        <x:v>0.59949225</x:v>
      </x:c>
      <x:c r="K47" s="16" t="n">
        <x:v>0</x:v>
      </x:c>
      <x:c r="L47" s="16" t="n">
        <x:f>I47+J47</x:f>
        <x:v>0.69459215</x:v>
      </x:c>
      <x:c r="M47" s="16" t="n">
        <x:f>L47/C47</x:f>
        <x:v>0.0069459215</x:v>
      </x:c>
      <x:c r="N47" s="16" t="n">
        <x:f>IF(OR(F47="",F47=0),"",L47/F47)</x:f>
        <x:v>0.038588452777777775</x:v>
      </x:c>
    </x:row>
    <x:row r="48" ht="30" customHeight="1">
      <x:c r="A48" s="9" t="str">
        <x:v>FactConsolidation MH 32K</x:v>
      </x:c>
      <x:c r="B48" s="9" t="str">
        <x:v>C</x:v>
      </x:c>
      <x:c r="C48" s="11" t="n">
        <x:v>100</x:v>
      </x:c>
      <x:c r="D48" s="9" t="str">
        <x:v>Substring EM</x:v>
      </x:c>
      <x:c r="E48" s="12" t="n">
        <x:v>8</x:v>
      </x:c>
      <x:c r="F48" s="11" t="n">
        <x:v>8</x:v>
      </x:c>
      <x:c r="G48" s="9" t="str">
        <x:v>Binary</x:v>
      </x:c>
      <x:c r="H48" s="12"/>
      <x:c r="I48" s="16" t="n">
        <x:v>0.0950999</x:v>
      </x:c>
      <x:c r="J48" s="16" t="n">
        <x:v>0.63878175</x:v>
      </x:c>
      <x:c r="K48" s="16" t="n">
        <x:v>0</x:v>
      </x:c>
      <x:c r="L48" s="16" t="n">
        <x:f>I48+J48</x:f>
        <x:v>0.73388165</x:v>
      </x:c>
      <x:c r="M48" s="16" t="n">
        <x:f>L48/C48</x:f>
        <x:v>0.0073388165</x:v>
      </x:c>
      <x:c r="N48" s="16" t="n">
        <x:f>IF(OR(F48="",F48=0),"",L48/F48)</x:f>
        <x:v>0.09173520625</x:v>
      </x:c>
    </x:row>
    <x:row r="49" ht="30" customHeight="1">
      <x:c r="A49" s="9" t="str">
        <x:v>FactConsolidation MH 32K</x:v>
      </x:c>
      <x:c r="B49" s="9" t="str">
        <x:v>D</x:v>
      </x:c>
      <x:c r="C49" s="11" t="n">
        <x:v>100</x:v>
      </x:c>
      <x:c r="D49" s="9" t="str">
        <x:v>Substring EM</x:v>
      </x:c>
      <x:c r="E49" s="12" t="n">
        <x:v>25</x:v>
      </x:c>
      <x:c r="F49" s="11" t="n">
        <x:v>25</x:v>
      </x:c>
      <x:c r="G49" s="9" t="str">
        <x:v>Binary</x:v>
      </x:c>
      <x:c r="H49" s="12"/>
      <x:c r="I49" s="16" t="n">
        <x:v>0.0950999</x:v>
      </x:c>
      <x:c r="J49" s="16" t="n">
        <x:v>0.6207675</x:v>
      </x:c>
      <x:c r="K49" s="16" t="n">
        <x:v>0</x:v>
      </x:c>
      <x:c r="L49" s="16" t="n">
        <x:f>I49+J49</x:f>
        <x:v>0.7158674</x:v>
      </x:c>
      <x:c r="M49" s="16" t="n">
        <x:f>L49/C49</x:f>
        <x:v>0.007158674</x:v>
      </x:c>
      <x:c r="N49" s="16" t="n">
        <x:f>IF(OR(F49="",F49=0),"",L49/F49)</x:f>
        <x:v>0.028634696</x:v>
      </x:c>
    </x:row>
    <x:row r="50" ht="30" customHeight="1">
      <x:c r="A50" s="9" t="str">
        <x:v>FactConsolidation SH 64K</x:v>
      </x:c>
      <x:c r="B50" s="9" t="str">
        <x:v>A</x:v>
      </x:c>
      <x:c r="C50" s="11" t="n">
        <x:v>100</x:v>
      </x:c>
      <x:c r="D50" s="9" t="str">
        <x:v>Substring EM</x:v>
      </x:c>
      <x:c r="E50" s="12" t="n">
        <x:v>86</x:v>
      </x:c>
      <x:c r="F50" s="11" t="n">
        <x:v>86</x:v>
      </x:c>
      <x:c r="G50" s="9" t="str">
        <x:v>Binary</x:v>
      </x:c>
      <x:c r="H50" s="12"/>
      <x:c r="I50" s="16" t="n">
        <x:v>0</x:v>
      </x:c>
      <x:c r="J50" s="16" t="n">
        <x:v>0.464037</x:v>
      </x:c>
      <x:c r="K50" s="16" t="n">
        <x:v>0</x:v>
      </x:c>
      <x:c r="L50" s="16" t="n">
        <x:f>I50+J50</x:f>
        <x:v>0.464037</x:v>
      </x:c>
      <x:c r="M50" s="16" t="n">
        <x:f>L50/C50</x:f>
        <x:v>0.0046403699999999996</x:v>
      </x:c>
      <x:c r="N50" s="16" t="n">
        <x:f>IF(OR(F50="",F50=0),"",L50/F50)</x:f>
        <x:v>0.005395779069767442</x:v>
      </x:c>
    </x:row>
    <x:row r="51" ht="30" customHeight="1">
      <x:c r="A51" s="9" t="str">
        <x:v>FactConsolidation SH 64K</x:v>
      </x:c>
      <x:c r="B51" s="9" t="str">
        <x:v>B</x:v>
      </x:c>
      <x:c r="C51" s="11" t="n">
        <x:v>100</x:v>
      </x:c>
      <x:c r="D51" s="9" t="str">
        <x:v>Substring EM</x:v>
      </x:c>
      <x:c r="E51" s="12" t="n">
        <x:v>90</x:v>
      </x:c>
      <x:c r="F51" s="11" t="n">
        <x:v>90</x:v>
      </x:c>
      <x:c r="G51" s="9" t="str">
        <x:v>Binary</x:v>
      </x:c>
      <x:c r="H51" s="12"/>
      <x:c r="I51" s="16" t="n">
        <x:v>0.16992909999999997</x:v>
      </x:c>
      <x:c r="J51" s="16" t="n">
        <x:v>0.459882</x:v>
      </x:c>
      <x:c r="K51" s="16" t="n">
        <x:v>0</x:v>
      </x:c>
      <x:c r="L51" s="16" t="n">
        <x:f>I51+J51</x:f>
        <x:v>0.6298111</x:v>
      </x:c>
      <x:c r="M51" s="16" t="n">
        <x:f>L51/C51</x:f>
        <x:v>0.0062981109999999995</x:v>
      </x:c>
      <x:c r="N51" s="16" t="n">
        <x:f>IF(OR(F51="",F51=0),"",L51/F51)</x:f>
        <x:v>0.006997901111111111</x:v>
      </x:c>
    </x:row>
    <x:row r="52" ht="30" customHeight="1">
      <x:c r="A52" s="9" t="str">
        <x:v>FactConsolidation SH 64K</x:v>
      </x:c>
      <x:c r="B52" s="9" t="str">
        <x:v>C</x:v>
      </x:c>
      <x:c r="C52" s="11" t="n">
        <x:v>100</x:v>
      </x:c>
      <x:c r="D52" s="9" t="str">
        <x:v>Substring EM</x:v>
      </x:c>
      <x:c r="E52" s="12" t="n">
        <x:v>74</x:v>
      </x:c>
      <x:c r="F52" s="11" t="n">
        <x:v>74</x:v>
      </x:c>
      <x:c r="G52" s="9" t="str">
        <x:v>Binary</x:v>
      </x:c>
      <x:c r="H52" s="12"/>
      <x:c r="I52" s="16" t="n">
        <x:v>0.16992909999999997</x:v>
      </x:c>
      <x:c r="J52" s="16" t="n">
        <x:v>0.48118425</x:v>
      </x:c>
      <x:c r="K52" s="16" t="n">
        <x:v>0</x:v>
      </x:c>
      <x:c r="L52" s="16" t="n">
        <x:f>I52+J52</x:f>
        <x:v>0.6511133499999999</x:v>
      </x:c>
      <x:c r="M52" s="16" t="n">
        <x:f>L52/C52</x:f>
        <x:v>0.006511133499999999</x:v>
      </x:c>
      <x:c r="N52" s="16" t="n">
        <x:f>IF(OR(F52="",F52=0),"",L52/F52)</x:f>
        <x:v>0.008798829054054052</x:v>
      </x:c>
    </x:row>
    <x:row r="53" ht="30" customHeight="1">
      <x:c r="A53" s="9" t="str">
        <x:v>FactConsolidation SH 64K</x:v>
      </x:c>
      <x:c r="B53" s="9" t="str">
        <x:v>D</x:v>
      </x:c>
      <x:c r="C53" s="11" t="n">
        <x:v>100</x:v>
      </x:c>
      <x:c r="D53" s="9" t="str">
        <x:v>Substring EM</x:v>
      </x:c>
      <x:c r="E53" s="12" t="n">
        <x:v>90</x:v>
      </x:c>
      <x:c r="F53" s="11" t="n">
        <x:v>90</x:v>
      </x:c>
      <x:c r="G53" s="9" t="str">
        <x:v>Binary</x:v>
      </x:c>
      <x:c r="H53" s="12"/>
      <x:c r="I53" s="16" t="n">
        <x:v>0.16992909999999997</x:v>
      </x:c>
      <x:c r="J53" s="16" t="n">
        <x:v>0.4538955</x:v>
      </x:c>
      <x:c r="K53" s="16" t="n">
        <x:v>0</x:v>
      </x:c>
      <x:c r="L53" s="16" t="n">
        <x:f>I53+J53</x:f>
        <x:v>0.6238246</x:v>
      </x:c>
      <x:c r="M53" s="16" t="n">
        <x:f>L53/C53</x:f>
        <x:v>0.006238245999999999</x:v>
      </x:c>
      <x:c r="N53" s="16" t="n">
        <x:f>IF(OR(F53="",F53=0),"",L53/F53)</x:f>
        <x:v>0.0069313844444444436</x:v>
      </x:c>
    </x:row>
    <x:row r="54" ht="30" customHeight="1">
      <x:c r="A54" s="9" t="str">
        <x:v>FactConsolidation MH 64K</x:v>
      </x:c>
      <x:c r="B54" s="9" t="str">
        <x:v>A</x:v>
      </x:c>
      <x:c r="C54" s="11" t="n">
        <x:v>100</x:v>
      </x:c>
      <x:c r="D54" s="9" t="str">
        <x:v>Substring EM</x:v>
      </x:c>
      <x:c r="E54" s="12" t="n">
        <x:v>15</x:v>
      </x:c>
      <x:c r="F54" s="11" t="n">
        <x:v>15</x:v>
      </x:c>
      <x:c r="G54" s="9" t="str">
        <x:v>Binary</x:v>
      </x:c>
      <x:c r="H54" s="12"/>
      <x:c r="I54" s="16" t="n">
        <x:v>0</x:v>
      </x:c>
      <x:c r="J54" s="16" t="n">
        <x:v>0.6266235</x:v>
      </x:c>
      <x:c r="K54" s="16" t="n">
        <x:v>0</x:v>
      </x:c>
      <x:c r="L54" s="16" t="n">
        <x:f>I54+J54</x:f>
        <x:v>0.6266235</x:v>
      </x:c>
      <x:c r="M54" s="16" t="n">
        <x:f>L54/C54</x:f>
        <x:v>0.006266235</x:v>
      </x:c>
      <x:c r="N54" s="16" t="n">
        <x:f>IF(OR(F54="",F54=0),"",L54/F54)</x:f>
        <x:v>0.0417749</x:v>
      </x:c>
    </x:row>
    <x:row r="55" ht="30" customHeight="1">
      <x:c r="A55" s="9" t="str">
        <x:v>FactConsolidation MH 64K</x:v>
      </x:c>
      <x:c r="B55" s="9" t="str">
        <x:v>B</x:v>
      </x:c>
      <x:c r="C55" s="11" t="n">
        <x:v>100</x:v>
      </x:c>
      <x:c r="D55" s="9" t="str">
        <x:v>Substring EM</x:v>
      </x:c>
      <x:c r="E55" s="12" t="n">
        <x:v>16</x:v>
      </x:c>
      <x:c r="F55" s="11" t="n">
        <x:v>16</x:v>
      </x:c>
      <x:c r="G55" s="9" t="str">
        <x:v>Binary</x:v>
      </x:c>
      <x:c r="H55" s="12"/>
      <x:c r="I55" s="16" t="n">
        <x:v>0.17488390000000004</x:v>
      </x:c>
      <x:c r="J55" s="16" t="n">
        <x:v>0.60380625</x:v>
      </x:c>
      <x:c r="K55" s="16" t="n">
        <x:v>0</x:v>
      </x:c>
      <x:c r="L55" s="16" t="n">
        <x:f>I55+J55</x:f>
        <x:v>0.7786901500000001</x:v>
      </x:c>
      <x:c r="M55" s="16" t="n">
        <x:f>L55/C55</x:f>
        <x:v>0.007786901500000001</x:v>
      </x:c>
      <x:c r="N55" s="16" t="n">
        <x:f>IF(OR(F55="",F55=0),"",L55/F55)</x:f>
        <x:v>0.048668134375000005</x:v>
      </x:c>
    </x:row>
    <x:row r="56" ht="30" customHeight="1">
      <x:c r="A56" s="9" t="str">
        <x:v>FactConsolidation MH 64K</x:v>
      </x:c>
      <x:c r="B56" s="9" t="str">
        <x:v>C</x:v>
      </x:c>
      <x:c r="C56" s="11" t="n">
        <x:v>100</x:v>
      </x:c>
      <x:c r="D56" s="9" t="str">
        <x:v>Substring EM</x:v>
      </x:c>
      <x:c r="E56" s="12" t="n">
        <x:v>15</x:v>
      </x:c>
      <x:c r="F56" s="11" t="n">
        <x:v>15</x:v>
      </x:c>
      <x:c r="G56" s="9" t="str">
        <x:v>Binary</x:v>
      </x:c>
      <x:c r="H56" s="12"/>
      <x:c r="I56" s="16" t="n">
        <x:v>0.17488390000000004</x:v>
      </x:c>
      <x:c r="J56" s="16" t="n">
        <x:v>0.632307</x:v>
      </x:c>
      <x:c r="K56" s="16" t="n">
        <x:v>0</x:v>
      </x:c>
      <x:c r="L56" s="16" t="n">
        <x:f>I56+J56</x:f>
        <x:v>0.8071908999999999</x:v>
      </x:c>
      <x:c r="M56" s="16" t="n">
        <x:f>L56/C56</x:f>
        <x:v>0.008071908999999999</x:v>
      </x:c>
      <x:c r="N56" s="16" t="n">
        <x:f>IF(OR(F56="",F56=0),"",L56/F56)</x:f>
        <x:v>0.053812726666666665</x:v>
      </x:c>
    </x:row>
    <x:row r="57" ht="30" customHeight="1">
      <x:c r="A57" s="9" t="str">
        <x:v>FactConsolidation MH 64K</x:v>
      </x:c>
      <x:c r="B57" s="9" t="str">
        <x:v>D</x:v>
      </x:c>
      <x:c r="C57" s="11" t="n">
        <x:v>100</x:v>
      </x:c>
      <x:c r="D57" s="9" t="str">
        <x:v>Substring EM</x:v>
      </x:c>
      <x:c r="E57" s="12" t="n">
        <x:v>16</x:v>
      </x:c>
      <x:c r="F57" s="11" t="n">
        <x:v>16</x:v>
      </x:c>
      <x:c r="G57" s="9" t="str">
        <x:v>Binary</x:v>
      </x:c>
      <x:c r="H57" s="12"/>
      <x:c r="I57" s="16" t="n">
        <x:v>0.17488390000000004</x:v>
      </x:c>
      <x:c r="J57" s="16" t="n">
        <x:v>0.6217155</x:v>
      </x:c>
      <x:c r="K57" s="16" t="n">
        <x:v>0</x:v>
      </x:c>
      <x:c r="L57" s="16" t="n">
        <x:f>I57+J57</x:f>
        <x:v>0.7965994000000001</x:v>
      </x:c>
      <x:c r="M57" s="16" t="n">
        <x:f>L57/C57</x:f>
        <x:v>0.007965994</x:v>
      </x:c>
      <x:c r="N57" s="16" t="n">
        <x:f>IF(OR(F57="",F57=0),"",L57/F57)</x:f>
        <x:v>0.049787462500000004</x:v>
      </x:c>
    </x:row>
    <x:row r="58" ht="30" customHeight="1">
      <x:c r="A58" s="9" t="str">
        <x:v>FactConsolidation SH 262K</x:v>
      </x:c>
      <x:c r="B58" s="9" t="str">
        <x:v>A</x:v>
      </x:c>
      <x:c r="C58" s="11" t="n">
        <x:v>100</x:v>
      </x:c>
      <x:c r="D58" s="9" t="str">
        <x:v>Substring EM</x:v>
      </x:c>
      <x:c r="E58" s="12" t="n">
        <x:v>74</x:v>
      </x:c>
      <x:c r="F58" s="11" t="n">
        <x:v>74</x:v>
      </x:c>
      <x:c r="G58" s="9" t="str">
        <x:v>Binary</x:v>
      </x:c>
      <x:c r="H58" s="12"/>
      <x:c r="I58" s="16" t="n">
        <x:v>0</x:v>
      </x:c>
      <x:c r="J58" s="16" t="n">
        <x:v>0.49873725</x:v>
      </x:c>
      <x:c r="K58" s="16" t="n">
        <x:v>0</x:v>
      </x:c>
      <x:c r="L58" s="16" t="n">
        <x:f>I58+J58</x:f>
        <x:v>0.49873725</x:v>
      </x:c>
      <x:c r="M58" s="16" t="n">
        <x:f>L58/C58</x:f>
        <x:v>0.0049873725</x:v>
      </x:c>
      <x:c r="N58" s="16" t="n">
        <x:f>IF(OR(F58="",F58=0),"",L58/F58)</x:f>
        <x:v>0.006739692567567568</x:v>
      </x:c>
    </x:row>
    <x:row r="59" ht="30" customHeight="1">
      <x:c r="A59" s="9" t="str">
        <x:v>FactConsolidation SH 262K</x:v>
      </x:c>
      <x:c r="B59" s="9" t="str">
        <x:v>B</x:v>
      </x:c>
      <x:c r="C59" s="11" t="n">
        <x:v>100</x:v>
      </x:c>
      <x:c r="D59" s="9" t="str">
        <x:v>Substring EM</x:v>
      </x:c>
      <x:c r="E59" s="12" t="n">
        <x:v>79</x:v>
      </x:c>
      <x:c r="F59" s="11" t="n">
        <x:v>79</x:v>
      </x:c>
      <x:c r="G59" s="9" t="str">
        <x:v>Binary</x:v>
      </x:c>
      <x:c r="H59" s="12"/>
      <x:c r="I59" s="16" t="n">
        <x:v>0.3545787</x:v>
      </x:c>
      <x:c r="J59" s="16" t="n">
        <x:v>0.488529</x:v>
      </x:c>
      <x:c r="K59" s="16" t="n">
        <x:v>0</x:v>
      </x:c>
      <x:c r="L59" s="16" t="n">
        <x:f>I59+J59</x:f>
        <x:v>0.8431077</x:v>
      </x:c>
      <x:c r="M59" s="16" t="n">
        <x:f>L59/C59</x:f>
        <x:v>0.008431077</x:v>
      </x:c>
      <x:c r="N59" s="16" t="n">
        <x:f>IF(OR(F59="",F59=0),"",L59/F59)</x:f>
        <x:v>0.010672249367088608</x:v>
      </x:c>
    </x:row>
    <x:row r="60" ht="30" customHeight="1">
      <x:c r="A60" s="9" t="str">
        <x:v>FactConsolidation SH 262K</x:v>
      </x:c>
      <x:c r="B60" s="9" t="str">
        <x:v>C</x:v>
      </x:c>
      <x:c r="C60" s="11" t="n">
        <x:v>100</x:v>
      </x:c>
      <x:c r="D60" s="9" t="str">
        <x:v>Substring EM</x:v>
      </x:c>
      <x:c r="E60" s="12" t="n">
        <x:v>60</x:v>
      </x:c>
      <x:c r="F60" s="11" t="n">
        <x:v>60</x:v>
      </x:c>
      <x:c r="G60" s="9" t="str">
        <x:v>Binary</x:v>
      </x:c>
      <x:c r="H60" s="12"/>
      <x:c r="I60" s="16" t="n">
        <x:v>0.3545787</x:v>
      </x:c>
      <x:c r="J60" s="16" t="n">
        <x:v>0.5126175</x:v>
      </x:c>
      <x:c r="K60" s="16" t="n">
        <x:v>0</x:v>
      </x:c>
      <x:c r="L60" s="16" t="n">
        <x:f>I60+J60</x:f>
        <x:v>0.8671962</x:v>
      </x:c>
      <x:c r="M60" s="16" t="n">
        <x:f>L60/C60</x:f>
        <x:v>0.008671962</x:v>
      </x:c>
      <x:c r="N60" s="16" t="n">
        <x:f>IF(OR(F60="",F60=0),"",L60/F60)</x:f>
        <x:v>0.014453269999999999</x:v>
      </x:c>
    </x:row>
    <x:row r="61" ht="30" customHeight="1">
      <x:c r="A61" s="9" t="str">
        <x:v>FactConsolidation SH 262K</x:v>
      </x:c>
      <x:c r="B61" s="9" t="str">
        <x:v>D</x:v>
      </x:c>
      <x:c r="C61" s="11" t="n">
        <x:v>100</x:v>
      </x:c>
      <x:c r="D61" s="9" t="str">
        <x:v>Substring EM</x:v>
      </x:c>
      <x:c r="E61" s="12" t="n">
        <x:v>69</x:v>
      </x:c>
      <x:c r="F61" s="11" t="n">
        <x:v>69</x:v>
      </x:c>
      <x:c r="G61" s="9" t="str">
        <x:v>Binary</x:v>
      </x:c>
      <x:c r="H61" s="12"/>
      <x:c r="I61" s="16" t="n">
        <x:v>0.3545787</x:v>
      </x:c>
      <x:c r="J61" s="16" t="n">
        <x:v>0.49087125</x:v>
      </x:c>
      <x:c r="K61" s="16" t="n">
        <x:v>0</x:v>
      </x:c>
      <x:c r="L61" s="16" t="n">
        <x:f>I61+J61</x:f>
        <x:v>0.84544995</x:v>
      </x:c>
      <x:c r="M61" s="16" t="n">
        <x:f>L61/C61</x:f>
        <x:v>0.0084544995</x:v>
      </x:c>
      <x:c r="N61" s="16" t="n">
        <x:f>IF(OR(F61="",F61=0),"",L61/F61)</x:f>
        <x:v>0.012252897826086956</x:v>
      </x:c>
    </x:row>
    <x:row r="62" ht="30" customHeight="1">
      <x:c r="A62" s="9" t="str">
        <x:v>FactConsolidation MH 262K</x:v>
      </x:c>
      <x:c r="B62" s="9" t="str">
        <x:v>A</x:v>
      </x:c>
      <x:c r="C62" s="11" t="n">
        <x:v>100</x:v>
      </x:c>
      <x:c r="D62" s="9" t="str">
        <x:v>Substring EM</x:v>
      </x:c>
      <x:c r="E62" s="12" t="n">
        <x:v>9</x:v>
      </x:c>
      <x:c r="F62" s="11" t="n">
        <x:v>9</x:v>
      </x:c>
      <x:c r="G62" s="9" t="str">
        <x:v>Binary</x:v>
      </x:c>
      <x:c r="H62" s="12"/>
      <x:c r="I62" s="16" t="n">
        <x:v>0</x:v>
      </x:c>
      <x:c r="J62" s="16" t="n">
        <x:v>0.6328185</x:v>
      </x:c>
      <x:c r="K62" s="16" t="n">
        <x:v>0</x:v>
      </x:c>
      <x:c r="L62" s="16" t="n">
        <x:f>I62+J62</x:f>
        <x:v>0.6328185</x:v>
      </x:c>
      <x:c r="M62" s="16" t="n">
        <x:f>L62/C62</x:f>
        <x:v>0.006328184999999999</x:v>
      </x:c>
      <x:c r="N62" s="16" t="n">
        <x:f>IF(OR(F62="",F62=0),"",L62/F62)</x:f>
        <x:v>0.07031316666666666</x:v>
      </x:c>
    </x:row>
    <x:row r="63" ht="30" customHeight="1">
      <x:c r="A63" s="9" t="str">
        <x:v>FactConsolidation MH 262K</x:v>
      </x:c>
      <x:c r="B63" s="9" t="str">
        <x:v>B</x:v>
      </x:c>
      <x:c r="C63" s="11" t="n">
        <x:v>100</x:v>
      </x:c>
      <x:c r="D63" s="9" t="str">
        <x:v>Substring EM</x:v>
      </x:c>
      <x:c r="E63" s="12" t="n">
        <x:v>8</x:v>
      </x:c>
      <x:c r="F63" s="11" t="n">
        <x:v>8</x:v>
      </x:c>
      <x:c r="G63" s="9" t="str">
        <x:v>Binary</x:v>
      </x:c>
      <x:c r="H63" s="12"/>
      <x:c r="I63" s="16" t="n">
        <x:v>0.34976430000000003</x:v>
      </x:c>
      <x:c r="J63" s="16" t="n">
        <x:v>0.61756725</x:v>
      </x:c>
      <x:c r="K63" s="16" t="n">
        <x:v>0</x:v>
      </x:c>
      <x:c r="L63" s="16" t="n">
        <x:f>I63+J63</x:f>
        <x:v>0.96733155</x:v>
      </x:c>
      <x:c r="M63" s="16" t="n">
        <x:f>L63/C63</x:f>
        <x:v>0.0096733155</x:v>
      </x:c>
      <x:c r="N63" s="16" t="n">
        <x:f>IF(OR(F63="",F63=0),"",L63/F63)</x:f>
        <x:v>0.12091644375</x:v>
      </x:c>
    </x:row>
    <x:row r="64" ht="30" customHeight="1">
      <x:c r="A64" s="9" t="str">
        <x:v>FactConsolidation MH 262K</x:v>
      </x:c>
      <x:c r="B64" s="9" t="str">
        <x:v>C</x:v>
      </x:c>
      <x:c r="C64" s="11" t="n">
        <x:v>100</x:v>
      </x:c>
      <x:c r="D64" s="9" t="str">
        <x:v>Substring EM</x:v>
      </x:c>
      <x:c r="E64" s="12" t="n">
        <x:v>8</x:v>
      </x:c>
      <x:c r="F64" s="11" t="n">
        <x:v>8</x:v>
      </x:c>
      <x:c r="G64" s="9" t="str">
        <x:v>Binary</x:v>
      </x:c>
      <x:c r="H64" s="12"/>
      <x:c r="I64" s="16" t="n">
        <x:v>0.34976430000000003</x:v>
      </x:c>
      <x:c r="J64" s="16" t="n">
        <x:v>0.6396285</x:v>
      </x:c>
      <x:c r="K64" s="16" t="n">
        <x:v>0</x:v>
      </x:c>
      <x:c r="L64" s="16" t="n">
        <x:f>I64+J64</x:f>
        <x:v>0.9893928000000001</x:v>
      </x:c>
      <x:c r="M64" s="16" t="n">
        <x:f>L64/C64</x:f>
        <x:v>0.009893928000000001</x:v>
      </x:c>
      <x:c r="N64" s="16" t="n">
        <x:f>IF(OR(F64="",F64=0),"",L64/F64)</x:f>
        <x:v>0.12367410000000001</x:v>
      </x:c>
    </x:row>
    <x:row r="65" ht="30" customHeight="1">
      <x:c r="A65" s="9" t="str">
        <x:v>FactConsolidation MH 262K</x:v>
      </x:c>
      <x:c r="B65" s="9" t="str">
        <x:v>D</x:v>
      </x:c>
      <x:c r="C65" s="11" t="n">
        <x:v>100</x:v>
      </x:c>
      <x:c r="D65" s="9" t="str">
        <x:v>Substring EM</x:v>
      </x:c>
      <x:c r="E65" s="12" t="n">
        <x:v>8</x:v>
      </x:c>
      <x:c r="F65" s="11" t="n">
        <x:v>8</x:v>
      </x:c>
      <x:c r="G65" s="9" t="str">
        <x:v>Binary</x:v>
      </x:c>
      <x:c r="H65" s="12"/>
      <x:c r="I65" s="16" t="n">
        <x:v>0.34976430000000003</x:v>
      </x:c>
      <x:c r="J65" s="16" t="n">
        <x:v>0.6390195</x:v>
      </x:c>
      <x:c r="K65" s="16" t="n">
        <x:v>0</x:v>
      </x:c>
      <x:c r="L65" s="16" t="n">
        <x:f>I65+J65</x:f>
        <x:v>0.9887838</x:v>
      </x:c>
      <x:c r="M65" s="16" t="n">
        <x:f>L65/C65</x:f>
        <x:v>0.009887838</x:v>
      </x:c>
      <x:c r="N65" s="16" t="n">
        <x:f>IF(OR(F65="",F65=0),"",L65/F65)</x:f>
        <x:v>0.123597975</x:v>
      </x:c>
    </x:row>
    <x:row r="66" ht="30" customHeight="1">
      <x:c r="A66" s="9" t="str">
        <x:v>PersonaMem v2 32K</x:v>
      </x:c>
      <x:c r="B66" s="9" t="str">
        <x:v>A</x:v>
      </x:c>
      <x:c r="C66" s="11" t="n">
        <x:v>100</x:v>
      </x:c>
      <x:c r="D66" s="9" t="str">
        <x:v>MCQ accuracy</x:v>
      </x:c>
      <x:c r="E66" s="12" t="n">
        <x:v>45</x:v>
      </x:c>
      <x:c r="F66" s="11" t="n">
        <x:v>45</x:v>
      </x:c>
      <x:c r="G66" s="9" t="str">
        <x:v>Binary</x:v>
      </x:c>
      <x:c r="H66" s="12"/>
      <x:c r="I66" s="16" t="n">
        <x:v>0</x:v>
      </x:c>
      <x:c r="J66" s="16" t="n">
        <x:v>0.5898585</x:v>
      </x:c>
      <x:c r="K66" s="16" t="n">
        <x:v>0</x:v>
      </x:c>
      <x:c r="L66" s="16" t="n">
        <x:f>I66+J66</x:f>
        <x:v>0.5898585</x:v>
      </x:c>
      <x:c r="M66" s="16" t="n">
        <x:f>L66/C66</x:f>
        <x:v>0.005898585</x:v>
      </x:c>
      <x:c r="N66" s="16" t="n">
        <x:f>IF(OR(F66="",F66=0),"",L66/F66)</x:f>
        <x:v>0.013107966666666665</x:v>
      </x:c>
    </x:row>
    <x:row r="67" ht="30" customHeight="1">
      <x:c r="A67" s="9" t="str">
        <x:v>PersonaMem v2 32K</x:v>
      </x:c>
      <x:c r="B67" s="9" t="str">
        <x:v>B</x:v>
      </x:c>
      <x:c r="C67" s="11" t="n">
        <x:v>100</x:v>
      </x:c>
      <x:c r="D67" s="9" t="str">
        <x:v>MCQ accuracy</x:v>
      </x:c>
      <x:c r="E67" s="12" t="n">
        <x:v>50</x:v>
      </x:c>
      <x:c r="F67" s="11" t="n">
        <x:v>50</x:v>
      </x:c>
      <x:c r="G67" s="9" t="str">
        <x:v>Binary</x:v>
      </x:c>
      <x:c r="H67" s="12"/>
      <x:c r="I67" s="16" t="n">
        <x:v>0.3159284</x:v>
      </x:c>
      <x:c r="J67" s="16" t="n">
        <x:v>0.59060175</x:v>
      </x:c>
      <x:c r="K67" s="16" t="n">
        <x:v>0</x:v>
      </x:c>
      <x:c r="L67" s="16" t="n">
        <x:f>I67+J67</x:f>
        <x:v>0.90653015</x:v>
      </x:c>
      <x:c r="M67" s="16" t="n">
        <x:f>L67/C67</x:f>
        <x:v>0.009065301500000001</x:v>
      </x:c>
      <x:c r="N67" s="16" t="n">
        <x:f>IF(OR(F67="",F67=0),"",L67/F67)</x:f>
        <x:v>0.018130603000000002</x:v>
      </x:c>
    </x:row>
    <x:row r="68" ht="30" customHeight="1">
      <x:c r="A68" s="9" t="str">
        <x:v>PersonaMem v2 32K</x:v>
      </x:c>
      <x:c r="B68" s="9" t="str">
        <x:v>C</x:v>
      </x:c>
      <x:c r="C68" s="11" t="n">
        <x:v>100</x:v>
      </x:c>
      <x:c r="D68" s="9" t="str">
        <x:v>MCQ accuracy</x:v>
      </x:c>
      <x:c r="E68" s="12" t="n">
        <x:v>50</x:v>
      </x:c>
      <x:c r="F68" s="11" t="n">
        <x:v>50</x:v>
      </x:c>
      <x:c r="G68" s="9" t="str">
        <x:v>Binary</x:v>
      </x:c>
      <x:c r="H68" s="12"/>
      <x:c r="I68" s="16" t="n">
        <x:v>0.3159284</x:v>
      </x:c>
      <x:c r="J68" s="16" t="n">
        <x:v>0.59181675</x:v>
      </x:c>
      <x:c r="K68" s="16" t="n">
        <x:v>0</x:v>
      </x:c>
      <x:c r="L68" s="16" t="n">
        <x:f>I68+J68</x:f>
        <x:v>0.90774515</x:v>
      </x:c>
      <x:c r="M68" s="16" t="n">
        <x:f>L68/C68</x:f>
        <x:v>0.0090774515</x:v>
      </x:c>
      <x:c r="N68" s="16" t="n">
        <x:f>IF(OR(F68="",F68=0),"",L68/F68)</x:f>
        <x:v>0.018154903</x:v>
      </x:c>
    </x:row>
    <x:row r="69" ht="30" customHeight="1">
      <x:c r="A69" s="9" t="str">
        <x:v>PersonaMem v2 32K</x:v>
      </x:c>
      <x:c r="B69" s="9" t="str">
        <x:v>D</x:v>
      </x:c>
      <x:c r="C69" s="11" t="n">
        <x:v>100</x:v>
      </x:c>
      <x:c r="D69" s="9" t="str">
        <x:v>MCQ accuracy</x:v>
      </x:c>
      <x:c r="E69" s="12" t="n">
        <x:v>44</x:v>
      </x:c>
      <x:c r="F69" s="11" t="n">
        <x:v>44</x:v>
      </x:c>
      <x:c r="G69" s="9" t="str">
        <x:v>Binary</x:v>
      </x:c>
      <x:c r="H69" s="12"/>
      <x:c r="I69" s="16" t="n">
        <x:v>0.3159284</x:v>
      </x:c>
      <x:c r="J69" s="16" t="n">
        <x:v>0.593505</x:v>
      </x:c>
      <x:c r="K69" s="16" t="n">
        <x:v>0</x:v>
      </x:c>
      <x:c r="L69" s="16" t="n">
        <x:f>I69+J69</x:f>
        <x:v>0.9094334</x:v>
      </x:c>
      <x:c r="M69" s="16" t="n">
        <x:f>L69/C69</x:f>
        <x:v>0.009094333999999999</x:v>
      </x:c>
      <x:c r="N69" s="16" t="n">
        <x:f>IF(OR(F69="",F69=0),"",L69/F69)</x:f>
        <x:v>0.020668940909090907</x:v>
      </x:c>
    </x:row>
    <x:row r="70" ht="30" customHeight="1">
      <x:c r="A70" s="9" t="str">
        <x:v>PersonaMem v2 128K</x:v>
      </x:c>
      <x:c r="B70" s="9" t="str">
        <x:v>A</x:v>
      </x:c>
      <x:c r="C70" s="11" t="n">
        <x:v>100</x:v>
      </x:c>
      <x:c r="D70" s="9" t="str">
        <x:v>MCQ accuracy</x:v>
      </x:c>
      <x:c r="E70" s="12" t="n">
        <x:v>41</x:v>
      </x:c>
      <x:c r="F70" s="11" t="n">
        <x:v>41</x:v>
      </x:c>
      <x:c r="G70" s="9" t="str">
        <x:v>Binary</x:v>
      </x:c>
      <x:c r="H70" s="12"/>
      <x:c r="I70" s="16" t="n">
        <x:v>0</x:v>
      </x:c>
      <x:c r="J70" s="16" t="n">
        <x:v>0.59057175</x:v>
      </x:c>
      <x:c r="K70" s="16" t="n">
        <x:v>0</x:v>
      </x:c>
      <x:c r="L70" s="16" t="n">
        <x:f>I70+J70</x:f>
        <x:v>0.59057175</x:v>
      </x:c>
      <x:c r="M70" s="16" t="n">
        <x:f>L70/C70</x:f>
        <x:v>0.005905717499999999</x:v>
      </x:c>
      <x:c r="N70" s="16" t="n">
        <x:f>IF(OR(F70="",F70=0),"",L70/F70)</x:f>
        <x:v>0.014404189024390243</x:v>
      </x:c>
    </x:row>
    <x:row r="71" ht="30" customHeight="1">
      <x:c r="A71" s="9" t="str">
        <x:v>PersonaMem v2 128K</x:v>
      </x:c>
      <x:c r="B71" s="9" t="str">
        <x:v>B</x:v>
      </x:c>
      <x:c r="C71" s="11" t="n">
        <x:v>100</x:v>
      </x:c>
      <x:c r="D71" s="9" t="str">
        <x:v>MCQ accuracy</x:v>
      </x:c>
      <x:c r="E71" s="12" t="n">
        <x:v>40</x:v>
      </x:c>
      <x:c r="F71" s="11" t="n">
        <x:v>40</x:v>
      </x:c>
      <x:c r="G71" s="9" t="str">
        <x:v>Binary</x:v>
      </x:c>
      <x:c r="H71" s="12"/>
      <x:c r="I71" s="16" t="n">
        <x:v>0.2591589</x:v>
      </x:c>
      <x:c r="J71" s="16" t="n">
        <x:v>0.592962</x:v>
      </x:c>
      <x:c r="K71" s="16" t="n">
        <x:v>0</x:v>
      </x:c>
      <x:c r="L71" s="16" t="n">
        <x:f>I71+J71</x:f>
        <x:v>0.8521209000000001</x:v>
      </x:c>
      <x:c r="M71" s="16" t="n">
        <x:f>L71/C71</x:f>
        <x:v>0.008521209</x:v>
      </x:c>
      <x:c r="N71" s="16" t="n">
        <x:f>IF(OR(F71="",F71=0),"",L71/F71)</x:f>
        <x:v>0.0213030225</x:v>
      </x:c>
    </x:row>
    <x:row r="72" ht="30" customHeight="1">
      <x:c r="A72" s="9" t="str">
        <x:v>PersonaMem v2 128K</x:v>
      </x:c>
      <x:c r="B72" s="9" t="str">
        <x:v>C</x:v>
      </x:c>
      <x:c r="C72" s="11" t="n">
        <x:v>100</x:v>
      </x:c>
      <x:c r="D72" s="9" t="str">
        <x:v>MCQ accuracy</x:v>
      </x:c>
      <x:c r="E72" s="12" t="n">
        <x:v>39</x:v>
      </x:c>
      <x:c r="F72" s="11" t="n">
        <x:v>39</x:v>
      </x:c>
      <x:c r="G72" s="9" t="str">
        <x:v>Binary</x:v>
      </x:c>
      <x:c r="H72" s="12"/>
      <x:c r="I72" s="16" t="n">
        <x:v>0.2591589</x:v>
      </x:c>
      <x:c r="J72" s="16" t="n">
        <x:v>0.59367825</x:v>
      </x:c>
      <x:c r="K72" s="16" t="n">
        <x:v>0</x:v>
      </x:c>
      <x:c r="L72" s="16" t="n">
        <x:f>I72+J72</x:f>
        <x:v>0.85283715</x:v>
      </x:c>
      <x:c r="M72" s="16" t="n">
        <x:f>L72/C72</x:f>
        <x:v>0.0085283715</x:v>
      </x:c>
      <x:c r="N72" s="16" t="n">
        <x:f>IF(OR(F72="",F72=0),"",L72/F72)</x:f>
        <x:v>0.02186761923076923</x:v>
      </x:c>
    </x:row>
    <x:row r="73" ht="30" customHeight="1">
      <x:c r="A73" s="9" t="str">
        <x:v>PersonaMem v2 128K</x:v>
      </x:c>
      <x:c r="B73" s="9" t="str">
        <x:v>D</x:v>
      </x:c>
      <x:c r="C73" s="11" t="n">
        <x:v>100</x:v>
      </x:c>
      <x:c r="D73" s="9" t="str">
        <x:v>MCQ accuracy</x:v>
      </x:c>
      <x:c r="E73" s="12" t="n">
        <x:v>42</x:v>
      </x:c>
      <x:c r="F73" s="11" t="n">
        <x:v>42</x:v>
      </x:c>
      <x:c r="G73" s="9" t="str">
        <x:v>Binary</x:v>
      </x:c>
      <x:c r="H73" s="12"/>
      <x:c r="I73" s="16" t="n">
        <x:v>0.2591589</x:v>
      </x:c>
      <x:c r="J73" s="16" t="n">
        <x:v>0.5871405</x:v>
      </x:c>
      <x:c r="K73" s="16" t="n">
        <x:v>0</x:v>
      </x:c>
      <x:c r="L73" s="16" t="n">
        <x:f>I73+J73</x:f>
        <x:v>0.8462993999999999</x:v>
      </x:c>
      <x:c r="M73" s="16" t="n">
        <x:f>L73/C73</x:f>
        <x:v>0.008462994</x:v>
      </x:c>
      <x:c r="N73" s="16" t="n">
        <x:f>IF(OR(F73="",F73=0),"",L73/F73)</x:f>
        <x:v>0.020149985714285713</x:v>
      </x:c>
    </x:row>
    <x:row r="74" ht="30" customHeight="1">
      <x:c r="A74" s="9" t="str">
        <x:v>BEAM 100K</x:v>
      </x:c>
      <x:c r="B74" s="9" t="str">
        <x:v>A</x:v>
      </x:c>
      <x:c r="C74" s="11" t="n">
        <x:v>100</x:v>
      </x:c>
      <x:c r="D74" s="9" t="str">
        <x:v>Rubric mean</x:v>
      </x:c>
      <x:c r="E74" s="12" t="n">
        <x:v>39.020833333333336</x:v>
      </x:c>
      <x:c r="F74" s="11"/>
      <x:c r="G74" s="9" t="str">
        <x:v>N/A</x:v>
      </x:c>
      <x:c r="H74" s="12"/>
      <x:c r="I74" s="16" t="n">
        <x:v>0</x:v>
      </x:c>
      <x:c r="J74" s="16" t="n">
        <x:v>0.53341875</x:v>
      </x:c>
      <x:c r="K74" s="16" t="n">
        <x:v>0.0325034</x:v>
      </x:c>
      <x:c r="L74" s="16" t="n">
        <x:f>I74+J74</x:f>
        <x:v>0.53341875</x:v>
      </x:c>
      <x:c r="M74" s="16" t="n">
        <x:f>L74/C74</x:f>
        <x:v>0.0053341875</x:v>
      </x:c>
      <x:c r="N74" s="16" t="str">
        <x:f>IF(OR(F74="",F74=0),"",L74/F74)</x:f>
      </x:c>
    </x:row>
    <x:row r="75" ht="30" customHeight="1">
      <x:c r="A75" s="9" t="str">
        <x:v>BEAM 100K</x:v>
      </x:c>
      <x:c r="B75" s="9" t="str">
        <x:v>B</x:v>
      </x:c>
      <x:c r="C75" s="11" t="n">
        <x:v>100</x:v>
      </x:c>
      <x:c r="D75" s="9" t="str">
        <x:v>Rubric mean</x:v>
      </x:c>
      <x:c r="E75" s="12" t="n">
        <x:v>37.97083333333333</x:v>
      </x:c>
      <x:c r="F75" s="11"/>
      <x:c r="G75" s="9" t="str">
        <x:v>N/A</x:v>
      </x:c>
      <x:c r="H75" s="12"/>
      <x:c r="I75" s="16" t="n">
        <x:v>0.5893937</x:v>
      </x:c>
      <x:c r="J75" s="16" t="n">
        <x:v>0.53715</x:v>
      </x:c>
      <x:c r="K75" s="16" t="n">
        <x:v>0.0326249</x:v>
      </x:c>
      <x:c r="L75" s="16" t="n">
        <x:f>I75+J75</x:f>
        <x:v>1.1265437</x:v>
      </x:c>
      <x:c r="M75" s="16" t="n">
        <x:f>L75/C75</x:f>
        <x:v>0.011265437</x:v>
      </x:c>
      <x:c r="N75" s="16" t="str">
        <x:f>IF(OR(F75="",F75=0),"",L75/F75)</x:f>
      </x:c>
    </x:row>
    <x:row r="76" ht="30" customHeight="1">
      <x:c r="A76" s="9" t="str">
        <x:v>BEAM 100K</x:v>
      </x:c>
      <x:c r="B76" s="9" t="str">
        <x:v>C</x:v>
      </x:c>
      <x:c r="C76" s="11" t="n">
        <x:v>100</x:v>
      </x:c>
      <x:c r="D76" s="9" t="str">
        <x:v>Rubric mean</x:v>
      </x:c>
      <x:c r="E76" s="12" t="n">
        <x:v>37.09583333333333</x:v>
      </x:c>
      <x:c r="F76" s="11"/>
      <x:c r="G76" s="9" t="str">
        <x:v>N/A</x:v>
      </x:c>
      <x:c r="H76" s="12"/>
      <x:c r="I76" s="16" t="n">
        <x:v>0.5893937</x:v>
      </x:c>
      <x:c r="J76" s="16" t="n">
        <x:v>0.5360565</x:v>
      </x:c>
      <x:c r="K76" s="16" t="n">
        <x:v>0.0325599</x:v>
      </x:c>
      <x:c r="L76" s="16" t="n">
        <x:f>I76+J76</x:f>
        <x:v>1.1254502</x:v>
      </x:c>
      <x:c r="M76" s="16" t="n">
        <x:f>L76/C76</x:f>
        <x:v>0.011254502</x:v>
      </x:c>
      <x:c r="N76" s="16" t="str">
        <x:f>IF(OR(F76="",F76=0),"",L76/F76)</x:f>
      </x:c>
    </x:row>
    <x:row r="77" ht="30" customHeight="1">
      <x:c r="A77" s="9" t="str">
        <x:v>BEAM 100K</x:v>
      </x:c>
      <x:c r="B77" s="9" t="str">
        <x:v>D</x:v>
      </x:c>
      <x:c r="C77" s="11" t="n">
        <x:v>100</x:v>
      </x:c>
      <x:c r="D77" s="9" t="str">
        <x:v>Rubric mean</x:v>
      </x:c>
      <x:c r="E77" s="12" t="n">
        <x:v>38.1</x:v>
      </x:c>
      <x:c r="F77" s="11"/>
      <x:c r="G77" s="9" t="str">
        <x:v>N/A</x:v>
      </x:c>
      <x:c r="H77" s="12"/>
      <x:c r="I77" s="16" t="n">
        <x:v>0.5893937</x:v>
      </x:c>
      <x:c r="J77" s="16" t="n">
        <x:v>0.5461695</x:v>
      </x:c>
      <x:c r="K77" s="16" t="n">
        <x:v>0.032621</x:v>
      </x:c>
      <x:c r="L77" s="16" t="n">
        <x:f>I77+J77</x:f>
        <x:v>1.1355632</x:v>
      </x:c>
      <x:c r="M77" s="16" t="n">
        <x:f>L77/C77</x:f>
        <x:v>0.011355632</x:v>
      </x:c>
      <x:c r="N77" s="16" t="str">
        <x:f>IF(OR(F77="",F77=0),"",L77/F77)</x:f>
      </x:c>
    </x:row>
    <x:row r="78" ht="30" customHeight="1">
      <x:c r="A78" s="9" t="str">
        <x:v>BEAM 500K</x:v>
      </x:c>
      <x:c r="B78" s="9" t="str">
        <x:v>A</x:v>
      </x:c>
      <x:c r="C78" s="11" t="n">
        <x:v>100</x:v>
      </x:c>
      <x:c r="D78" s="9" t="str">
        <x:v>Rubric mean</x:v>
      </x:c>
      <x:c r="E78" s="12" t="n">
        <x:v>26.766666666666666</x:v>
      </x:c>
      <x:c r="F78" s="11"/>
      <x:c r="G78" s="9" t="str">
        <x:v>N/A</x:v>
      </x:c>
      <x:c r="H78" s="12"/>
      <x:c r="I78" s="16" t="n">
        <x:v>0</x:v>
      </x:c>
      <x:c r="J78" s="16" t="n">
        <x:v>0.546231</x:v>
      </x:c>
      <x:c r="K78" s="16" t="n">
        <x:v>0.033080200000000004</x:v>
      </x:c>
      <x:c r="L78" s="16" t="n">
        <x:f>I78+J78</x:f>
        <x:v>0.546231</x:v>
      </x:c>
      <x:c r="M78" s="16" t="n">
        <x:f>L78/C78</x:f>
        <x:v>0.005462310000000001</x:v>
      </x:c>
      <x:c r="N78" s="16" t="str">
        <x:f>IF(OR(F78="",F78=0),"",L78/F78)</x:f>
      </x:c>
    </x:row>
    <x:row r="79" ht="30" customHeight="1">
      <x:c r="A79" s="9" t="str">
        <x:v>BEAM 500K</x:v>
      </x:c>
      <x:c r="B79" s="9" t="str">
        <x:v>B</x:v>
      </x:c>
      <x:c r="C79" s="11" t="n">
        <x:v>100</x:v>
      </x:c>
      <x:c r="D79" s="9" t="str">
        <x:v>Rubric mean</x:v>
      </x:c>
      <x:c r="E79" s="12" t="n">
        <x:v>24.712500000000002</x:v>
      </x:c>
      <x:c r="F79" s="11"/>
      <x:c r="G79" s="9" t="str">
        <x:v>N/A</x:v>
      </x:c>
      <x:c r="H79" s="12"/>
      <x:c r="I79" s="16" t="n">
        <x:v>0.6474272000000001</x:v>
      </x:c>
      <x:c r="J79" s="16" t="n">
        <x:v>0.5443125</x:v>
      </x:c>
      <x:c r="K79" s="16" t="n">
        <x:v>0.0331532</x:v>
      </x:c>
      <x:c r="L79" s="16" t="n">
        <x:f>I79+J79</x:f>
        <x:v>1.1917397</x:v>
      </x:c>
      <x:c r="M79" s="16" t="n">
        <x:f>L79/C79</x:f>
        <x:v>0.011917397000000001</x:v>
      </x:c>
      <x:c r="N79" s="16" t="str">
        <x:f>IF(OR(F79="",F79=0),"",L79/F79)</x:f>
      </x:c>
    </x:row>
    <x:row r="80" ht="30" customHeight="1">
      <x:c r="A80" s="9" t="str">
        <x:v>BEAM 500K</x:v>
      </x:c>
      <x:c r="B80" s="9" t="str">
        <x:v>C</x:v>
      </x:c>
      <x:c r="C80" s="11" t="n">
        <x:v>100</x:v>
      </x:c>
      <x:c r="D80" s="9" t="str">
        <x:v>Rubric mean</x:v>
      </x:c>
      <x:c r="E80" s="12" t="n">
        <x:v>24.125</x:v>
      </x:c>
      <x:c r="F80" s="11"/>
      <x:c r="G80" s="9" t="str">
        <x:v>N/A</x:v>
      </x:c>
      <x:c r="H80" s="12"/>
      <x:c r="I80" s="16" t="n">
        <x:v>0.6474272000000001</x:v>
      </x:c>
      <x:c r="J80" s="16" t="n">
        <x:v>0.54684975</x:v>
      </x:c>
      <x:c r="K80" s="16" t="n">
        <x:v>0.0328815</x:v>
      </x:c>
      <x:c r="L80" s="16" t="n">
        <x:f>I80+J80</x:f>
        <x:v>1.1942769500000001</x:v>
      </x:c>
      <x:c r="M80" s="16" t="n">
        <x:f>L80/C80</x:f>
        <x:v>0.0119427695</x:v>
      </x:c>
      <x:c r="N80" s="16" t="str">
        <x:f>IF(OR(F80="",F80=0),"",L80/F80)</x:f>
      </x:c>
    </x:row>
    <x:row r="81" ht="30" customHeight="1">
      <x:c r="A81" s="9" t="str">
        <x:v>BEAM 500K</x:v>
      </x:c>
      <x:c r="B81" s="9" t="str">
        <x:v>D</x:v>
      </x:c>
      <x:c r="C81" s="11" t="n">
        <x:v>100</x:v>
      </x:c>
      <x:c r="D81" s="9" t="str">
        <x:v>Rubric mean</x:v>
      </x:c>
      <x:c r="E81" s="12" t="n">
        <x:v>27.391666666666666</x:v>
      </x:c>
      <x:c r="F81" s="11"/>
      <x:c r="G81" s="9" t="str">
        <x:v>N/A</x:v>
      </x:c>
      <x:c r="H81" s="12"/>
      <x:c r="I81" s="16" t="n">
        <x:v>0.6474272000000001</x:v>
      </x:c>
      <x:c r="J81" s="16" t="n">
        <x:v>0.549522</x:v>
      </x:c>
      <x:c r="K81" s="16" t="n">
        <x:v>0.032834300000000004</x:v>
      </x:c>
      <x:c r="L81" s="16" t="n">
        <x:f>I81+J81</x:f>
        <x:v>1.1969492000000002</x:v>
      </x:c>
      <x:c r="M81" s="16" t="n">
        <x:f>L81/C81</x:f>
        <x:v>0.011969492000000002</x:v>
      </x:c>
      <x:c r="N81" s="16" t="str">
        <x:f>IF(OR(F81="",F81=0),"",L81/F81)</x:f>
      </x:c>
    </x:row>
    <x:row r="82" ht="30" customHeight="1">
      <x:c r="A82" s="9" t="str">
        <x:v>BEAM 1M</x:v>
      </x:c>
      <x:c r="B82" s="9" t="str">
        <x:v>A</x:v>
      </x:c>
      <x:c r="C82" s="11" t="n">
        <x:v>100</x:v>
      </x:c>
      <x:c r="D82" s="9" t="str">
        <x:v>Rubric mean</x:v>
      </x:c>
      <x:c r="E82" s="12" t="n">
        <x:v>26.666666666666668</x:v>
      </x:c>
      <x:c r="F82" s="11"/>
      <x:c r="G82" s="9" t="str">
        <x:v>N/A</x:v>
      </x:c>
      <x:c r="H82" s="12"/>
      <x:c r="I82" s="16" t="n">
        <x:v>0</x:v>
      </x:c>
      <x:c r="J82" s="16" t="n">
        <x:v>0.540321</x:v>
      </x:c>
      <x:c r="K82" s="16" t="n">
        <x:v>0.0435537</x:v>
      </x:c>
      <x:c r="L82" s="16" t="n">
        <x:f>I82+J82</x:f>
        <x:v>0.540321</x:v>
      </x:c>
      <x:c r="M82" s="16" t="n">
        <x:f>L82/C82</x:f>
        <x:v>0.00540321</x:v>
      </x:c>
      <x:c r="N82" s="16" t="str">
        <x:f>IF(OR(F82="",F82=0),"",L82/F82)</x:f>
      </x:c>
    </x:row>
    <x:row r="83" ht="30" customHeight="1">
      <x:c r="A83" s="9" t="str">
        <x:v>BEAM 1M</x:v>
      </x:c>
      <x:c r="B83" s="9" t="str">
        <x:v>B</x:v>
      </x:c>
      <x:c r="C83" s="11" t="n">
        <x:v>100</x:v>
      </x:c>
      <x:c r="D83" s="9" t="str">
        <x:v>Rubric mean</x:v>
      </x:c>
      <x:c r="E83" s="12" t="n">
        <x:v>27.569444444444446</x:v>
      </x:c>
      <x:c r="F83" s="11"/>
      <x:c r="G83" s="9" t="str">
        <x:v>N/A</x:v>
      </x:c>
      <x:c r="H83" s="12"/>
      <x:c r="I83" s="16" t="n">
        <x:v>0.6658013</x:v>
      </x:c>
      <x:c r="J83" s="16" t="n">
        <x:v>0.540303</x:v>
      </x:c>
      <x:c r="K83" s="16" t="n">
        <x:v>0.0436924</x:v>
      </x:c>
      <x:c r="L83" s="16" t="n">
        <x:f>I83+J83</x:f>
        <x:v>1.2061043</x:v>
      </x:c>
      <x:c r="M83" s="16" t="n">
        <x:f>L83/C83</x:f>
        <x:v>0.012061043</x:v>
      </x:c>
      <x:c r="N83" s="16" t="str">
        <x:f>IF(OR(F83="",F83=0),"",L83/F83)</x:f>
      </x:c>
    </x:row>
    <x:row r="84" ht="30" customHeight="1">
      <x:c r="A84" s="9" t="str">
        <x:v>BEAM 1M</x:v>
      </x:c>
      <x:c r="B84" s="9" t="str">
        <x:v>C</x:v>
      </x:c>
      <x:c r="C84" s="11" t="n">
        <x:v>100</x:v>
      </x:c>
      <x:c r="D84" s="9" t="str">
        <x:v>Rubric mean</x:v>
      </x:c>
      <x:c r="E84" s="12" t="n">
        <x:v>28.075</x:v>
      </x:c>
      <x:c r="F84" s="11"/>
      <x:c r="G84" s="9" t="str">
        <x:v>N/A</x:v>
      </x:c>
      <x:c r="H84" s="12"/>
      <x:c r="I84" s="16" t="n">
        <x:v>0.6658013</x:v>
      </x:c>
      <x:c r="J84" s="16" t="n">
        <x:v>0.54293325</x:v>
      </x:c>
      <x:c r="K84" s="16" t="n">
        <x:v>0.043760900000000005</x:v>
      </x:c>
      <x:c r="L84" s="16" t="n">
        <x:f>I84+J84</x:f>
        <x:v>1.20873455</x:v>
      </x:c>
      <x:c r="M84" s="16" t="n">
        <x:f>L84/C84</x:f>
        <x:v>0.012087345499999999</x:v>
      </x:c>
      <x:c r="N84" s="16" t="str">
        <x:f>IF(OR(F84="",F84=0),"",L84/F84)</x:f>
      </x:c>
    </x:row>
    <x:row r="85" ht="30" customHeight="1">
      <x:c r="A85" s="9" t="str">
        <x:v>BEAM 1M</x:v>
      </x:c>
      <x:c r="B85" s="9" t="str">
        <x:v>D</x:v>
      </x:c>
      <x:c r="C85" s="11" t="n">
        <x:v>100</x:v>
      </x:c>
      <x:c r="D85" s="9" t="str">
        <x:v>Rubric mean</x:v>
      </x:c>
      <x:c r="E85" s="12" t="n">
        <x:v>28.975</x:v>
      </x:c>
      <x:c r="F85" s="11"/>
      <x:c r="G85" s="9" t="str">
        <x:v>N/A</x:v>
      </x:c>
      <x:c r="H85" s="12"/>
      <x:c r="I85" s="16" t="n">
        <x:v>0.6658013</x:v>
      </x:c>
      <x:c r="J85" s="16" t="n">
        <x:v>0.54334425</x:v>
      </x:c>
      <x:c r="K85" s="16" t="n">
        <x:v>0.0438812</x:v>
      </x:c>
      <x:c r="L85" s="16" t="n">
        <x:f>I85+J85</x:f>
        <x:v>1.2091455500000001</x:v>
      </x:c>
      <x:c r="M85" s="16" t="n">
        <x:f>L85/C85</x:f>
        <x:v>0.0120914555</x:v>
      </x:c>
      <x:c r="N85" s="16" t="str">
        <x:f>IF(OR(F85="",F85=0),"",L85/F85)</x:f>
      </x:c>
    </x:row>
  </x:sheetData>
  <x:mergeCells>
    <x:mergeCell ref="A2:N3"/>
  </x:mergeCells>
  <x:pageMargins left="0.7" right="0.7" top="0.75" bottom="0.75" header="0.3" footer="0.3"/>
  <x:tableParts count="1">
    <x:tablePart xmlns:r="http://schemas.openxmlformats.org/officeDocument/2006/relationships" r:id="Rd39406771c064e37"/>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4" hidden="0" customWidth="1"/>
    <x:col min="3" max="3" width="10" hidden="0" customWidth="1"/>
    <x:col min="4" max="4" width="12" hidden="0" customWidth="1"/>
    <x:col min="5" max="5" width="18" hidden="0" customWidth="1"/>
    <x:col min="6" max="6" width="12" hidden="0" customWidth="1"/>
    <x:col min="7" max="7" width="12" hidden="0" customWidth="1"/>
    <x:col min="8" max="8" width="12" hidden="0" customWidth="1"/>
    <x:col min="9" max="9" width="12" hidden="0" customWidth="1"/>
    <x:col min="10" max="10" width="12" hidden="0" customWidth="1"/>
    <x:col min="11" max="11" width="10" hidden="0" customWidth="1"/>
    <x:col min="12" max="12" width="10" hidden="0" customWidth="1"/>
    <x:col min="13" max="13" width="10" hidden="0" customWidth="1"/>
  </x:cols>
  <x:sheetData>
    <x:row r="1" ht="32" customHeight="1">
      <x:c r="A1" s="3" t="str">
        <x:v>Paired score changes</x:v>
      </x:c>
      <x:c r="B1" s="2"/>
      <x:c r="C1" s="2"/>
      <x:c r="D1" s="2"/>
      <x:c r="E1" s="2"/>
      <x:c r="F1" s="2"/>
      <x:c r="G1" s="2"/>
      <x:c r="H1" s="2"/>
      <x:c r="I1" s="2"/>
      <x:c r="J1" s="2"/>
      <x:c r="K1" s="2"/>
      <x:c r="L1" s="2"/>
      <x:c r="M1" s="2"/>
    </x:row>
    <x:row r="2" ht="22" customHeight="1">
      <x:c r="A2" s="5" t="str">
        <x:v>Deltas in points /100. Bootstrap: 2,000 resamples of histories, seed 13. Blank CI means one shared corpus. Exploratory intervals, no multiple-comparison adjustment. Wins/losses/ties count per-question score changes.</x:v>
      </x:c>
      <x:c r="B2" s="5"/>
      <x:c r="C2" s="5"/>
      <x:c r="D2" s="5"/>
      <x:c r="E2" s="5"/>
      <x:c r="F2" s="5"/>
      <x:c r="G2" s="5"/>
      <x:c r="H2" s="5"/>
      <x:c r="I2" s="5"/>
      <x:c r="J2" s="5"/>
      <x:c r="K2" s="5"/>
      <x:c r="L2" s="5"/>
      <x:c r="M2" s="5"/>
    </x:row>
    <x:row r="3" ht="22" customHeight="1">
      <x:c r="A3" s="5"/>
      <x:c r="B3" s="5"/>
      <x:c r="C3" s="5"/>
      <x:c r="D3" s="5"/>
      <x:c r="E3" s="5"/>
      <x:c r="F3" s="5"/>
      <x:c r="G3" s="5"/>
      <x:c r="H3" s="5"/>
      <x:c r="I3" s="5"/>
      <x:c r="J3" s="5"/>
      <x:c r="K3" s="5"/>
      <x:c r="L3" s="5"/>
      <x:c r="M3" s="5"/>
    </x:row>
    <x:row r="4" ht="10" customHeight="1">
      <x:c r="A4" s="2"/>
      <x:c r="B4" s="2"/>
      <x:c r="C4" s="2"/>
      <x:c r="D4" s="2"/>
      <x:c r="E4" s="2"/>
      <x:c r="F4" s="2"/>
      <x:c r="G4" s="2"/>
      <x:c r="H4" s="2"/>
      <x:c r="I4" s="2"/>
      <x:c r="J4" s="2"/>
      <x:c r="K4" s="2"/>
      <x:c r="L4" s="2"/>
      <x:c r="M4" s="2"/>
    </x:row>
    <x:row r="5" ht="48" customHeight="1">
      <x:c r="A5" s="8" t="str">
        <x:v>Test</x:v>
      </x:c>
      <x:c r="B5" s="8" t="str">
        <x:v>Comparison</x:v>
      </x:c>
      <x:c r="C5" s="8" t="str">
        <x:v>N</x:v>
      </x:c>
      <x:c r="D5" s="8" t="str">
        <x:v>Histories</x:v>
      </x:c>
      <x:c r="E5" s="8" t="str">
        <x:v>Metric</x:v>
      </x:c>
      <x:c r="F5" s="8" t="str">
        <x:v>Reference</x:v>
      </x:c>
      <x:c r="G5" s="8" t="str">
        <x:v>New</x:v>
      </x:c>
      <x:c r="H5" s="8" t="str">
        <x:v>Delta</x:v>
      </x:c>
      <x:c r="I5" s="8" t="str">
        <x:v>95% low</x:v>
      </x:c>
      <x:c r="J5" s="8" t="str">
        <x:v>95% high</x:v>
      </x:c>
      <x:c r="K5" s="8" t="str">
        <x:v>Wins</x:v>
      </x:c>
      <x:c r="L5" s="8" t="str">
        <x:v>Losses</x:v>
      </x:c>
      <x:c r="M5" s="8" t="str">
        <x:v>Ties</x:v>
      </x:c>
    </x:row>
    <x:row r="6" ht="30" customHeight="1">
      <x:c r="A6" s="9" t="str">
        <x:v>LoCoMo</x:v>
      </x:c>
      <x:c r="B6" s="9" t="str">
        <x:v>B-A</x:v>
      </x:c>
      <x:c r="C6" s="11" t="n">
        <x:v>77</x:v>
      </x:c>
      <x:c r="D6" s="11" t="n">
        <x:v>10</x:v>
      </x:c>
      <x:c r="E6" s="9" t="str">
        <x:v>Judge accuracy</x:v>
      </x:c>
      <x:c r="F6" s="12" t="n">
        <x:v>61.038961038961034</x:v>
      </x:c>
      <x:c r="G6" s="12" t="n">
        <x:v>54.54545454545454</x:v>
      </x:c>
      <x:c r="H6" s="13" t="n">
        <x:f>G6-F6</x:f>
        <x:v>-6.493506493506494</x:v>
      </x:c>
      <x:c r="I6" s="13" t="n">
        <x:v>-12.5</x:v>
      </x:c>
      <x:c r="J6" s="13" t="n">
        <x:v>0</x:v>
      </x:c>
      <x:c r="K6" s="11" t="n">
        <x:v>2</x:v>
      </x:c>
      <x:c r="L6" s="11" t="n">
        <x:v>7</x:v>
      </x:c>
      <x:c r="M6" s="11" t="n">
        <x:v>68</x:v>
      </x:c>
    </x:row>
    <x:row r="7" ht="30" customHeight="1">
      <x:c r="A7" s="9" t="str">
        <x:v>LoCoMo</x:v>
      </x:c>
      <x:c r="B7" s="9" t="str">
        <x:v>C-B</x:v>
      </x:c>
      <x:c r="C7" s="11" t="n">
        <x:v>77</x:v>
      </x:c>
      <x:c r="D7" s="11" t="n">
        <x:v>10</x:v>
      </x:c>
      <x:c r="E7" s="9" t="str">
        <x:v>Judge accuracy</x:v>
      </x:c>
      <x:c r="F7" s="12" t="n">
        <x:v>54.54545454545454</x:v>
      </x:c>
      <x:c r="G7" s="12" t="n">
        <x:v>54.54545454545454</x:v>
      </x:c>
      <x:c r="H7" s="13" t="n">
        <x:f>G7-F7</x:f>
        <x:v>0</x:v>
      </x:c>
      <x:c r="I7" s="13" t="n">
        <x:v>-9.375</x:v>
      </x:c>
      <x:c r="J7" s="13" t="n">
        <x:v>7.894736842105263</x:v>
      </x:c>
      <x:c r="K7" s="11" t="n">
        <x:v>4</x:v>
      </x:c>
      <x:c r="L7" s="11" t="n">
        <x:v>4</x:v>
      </x:c>
      <x:c r="M7" s="11" t="n">
        <x:v>69</x:v>
      </x:c>
    </x:row>
    <x:row r="8" ht="30" customHeight="1">
      <x:c r="A8" s="9" t="str">
        <x:v>LoCoMo</x:v>
      </x:c>
      <x:c r="B8" s="9" t="str">
        <x:v>D-C</x:v>
      </x:c>
      <x:c r="C8" s="11" t="n">
        <x:v>77</x:v>
      </x:c>
      <x:c r="D8" s="11" t="n">
        <x:v>10</x:v>
      </x:c>
      <x:c r="E8" s="9" t="str">
        <x:v>Judge accuracy</x:v>
      </x:c>
      <x:c r="F8" s="12" t="n">
        <x:v>54.54545454545454</x:v>
      </x:c>
      <x:c r="G8" s="12" t="n">
        <x:v>55.84415584415584</x:v>
      </x:c>
      <x:c r="H8" s="13" t="n">
        <x:f>G8-F8</x:f>
        <x:v>1.2987012987013031</x:v>
      </x:c>
      <x:c r="I8" s="13" t="n">
        <x:v>-5.884103641456583</x:v>
      </x:c>
      <x:c r="J8" s="13" t="n">
        <x:v>9.375</x:v>
      </x:c>
      <x:c r="K8" s="11" t="n">
        <x:v>4</x:v>
      </x:c>
      <x:c r="L8" s="11" t="n">
        <x:v>3</x:v>
      </x:c>
      <x:c r="M8" s="11" t="n">
        <x:v>70</x:v>
      </x:c>
    </x:row>
    <x:row r="9" ht="30" customHeight="1">
      <x:c r="A9" s="9" t="str">
        <x:v>LoCoMo</x:v>
      </x:c>
      <x:c r="B9" s="9" t="str">
        <x:v>C-A</x:v>
      </x:c>
      <x:c r="C9" s="11" t="n">
        <x:v>77</x:v>
      </x:c>
      <x:c r="D9" s="11" t="n">
        <x:v>10</x:v>
      </x:c>
      <x:c r="E9" s="9" t="str">
        <x:v>Judge accuracy</x:v>
      </x:c>
      <x:c r="F9" s="12" t="n">
        <x:v>61.038961038961034</x:v>
      </x:c>
      <x:c r="G9" s="12" t="n">
        <x:v>54.54545454545454</x:v>
      </x:c>
      <x:c r="H9" s="13" t="n">
        <x:f>G9-F9</x:f>
        <x:v>-6.493506493506494</x:v>
      </x:c>
      <x:c r="I9" s="13" t="n">
        <x:v>-15.384615384615385</x:v>
      </x:c>
      <x:c r="J9" s="13" t="n">
        <x:v>1.1768207282913146</x:v>
      </x:c>
      <x:c r="K9" s="11" t="n">
        <x:v>2</x:v>
      </x:c>
      <x:c r="L9" s="11" t="n">
        <x:v>7</x:v>
      </x:c>
      <x:c r="M9" s="11" t="n">
        <x:v>68</x:v>
      </x:c>
    </x:row>
    <x:row r="10" ht="30" customHeight="1">
      <x:c r="A10" s="9" t="str">
        <x:v>LoCoMo</x:v>
      </x:c>
      <x:c r="B10" s="9" t="str">
        <x:v>D-A</x:v>
      </x:c>
      <x:c r="C10" s="11" t="n">
        <x:v>77</x:v>
      </x:c>
      <x:c r="D10" s="11" t="n">
        <x:v>10</x:v>
      </x:c>
      <x:c r="E10" s="9" t="str">
        <x:v>Judge accuracy</x:v>
      </x:c>
      <x:c r="F10" s="12" t="n">
        <x:v>61.038961038961034</x:v>
      </x:c>
      <x:c r="G10" s="12" t="n">
        <x:v>55.84415584415584</x:v>
      </x:c>
      <x:c r="H10" s="13" t="n">
        <x:f>G10-F10</x:f>
        <x:v>-5.194805194805191</x:v>
      </x:c>
      <x:c r="I10" s="13" t="n">
        <x:v>-10.81081081081081</x:v>
      </x:c>
      <x:c r="J10" s="13" t="n">
        <x:v>1.3893779342722976</x:v>
      </x:c>
      <x:c r="K10" s="11" t="n">
        <x:v>1</x:v>
      </x:c>
      <x:c r="L10" s="11" t="n">
        <x:v>5</x:v>
      </x:c>
      <x:c r="M10" s="11" t="n">
        <x:v>71</x:v>
      </x:c>
    </x:row>
    <x:row r="11" ht="30" customHeight="1">
      <x:c r="A11" s="9" t="str">
        <x:v>LoCoMo adversarial</x:v>
      </x:c>
      <x:c r="B11" s="9" t="str">
        <x:v>B-A</x:v>
      </x:c>
      <x:c r="C11" s="11" t="n">
        <x:v>23</x:v>
      </x:c>
      <x:c r="D11" s="11" t="n">
        <x:v>9</x:v>
      </x:c>
      <x:c r="E11" s="9" t="str">
        <x:v>Judge accuracy</x:v>
      </x:c>
      <x:c r="F11" s="12" t="n">
        <x:v>91.30434782608695</x:v>
      </x:c>
      <x:c r="G11" s="12" t="n">
        <x:v>100</x:v>
      </x:c>
      <x:c r="H11" s="13" t="n">
        <x:f>G11-F11</x:f>
        <x:v>8.695652173913047</x:v>
      </x:c>
      <x:c r="I11" s="13" t="n">
        <x:v>0</x:v>
      </x:c>
      <x:c r="J11" s="13" t="n">
        <x:v>20</x:v>
      </x:c>
      <x:c r="K11" s="11" t="n">
        <x:v>2</x:v>
      </x:c>
      <x:c r="L11" s="11" t="n">
        <x:v>0</x:v>
      </x:c>
      <x:c r="M11" s="11" t="n">
        <x:v>21</x:v>
      </x:c>
    </x:row>
    <x:row r="12" ht="30" customHeight="1">
      <x:c r="A12" s="9" t="str">
        <x:v>LoCoMo adversarial</x:v>
      </x:c>
      <x:c r="B12" s="9" t="str">
        <x:v>C-B</x:v>
      </x:c>
      <x:c r="C12" s="11" t="n">
        <x:v>23</x:v>
      </x:c>
      <x:c r="D12" s="11" t="n">
        <x:v>9</x:v>
      </x:c>
      <x:c r="E12" s="9" t="str">
        <x:v>Judge accuracy</x:v>
      </x:c>
      <x:c r="F12" s="12" t="n">
        <x:v>100</x:v>
      </x:c>
      <x:c r="G12" s="12" t="n">
        <x:v>100</x:v>
      </x:c>
      <x:c r="H12" s="13" t="n">
        <x:f>G12-F12</x:f>
        <x:v>0</x:v>
      </x:c>
      <x:c r="I12" s="13" t="n">
        <x:v>0</x:v>
      </x:c>
      <x:c r="J12" s="13" t="n">
        <x:v>0</x:v>
      </x:c>
      <x:c r="K12" s="11" t="n">
        <x:v>0</x:v>
      </x:c>
      <x:c r="L12" s="11" t="n">
        <x:v>0</x:v>
      </x:c>
      <x:c r="M12" s="11" t="n">
        <x:v>23</x:v>
      </x:c>
    </x:row>
    <x:row r="13" ht="30" customHeight="1">
      <x:c r="A13" s="9" t="str">
        <x:v>LoCoMo adversarial</x:v>
      </x:c>
      <x:c r="B13" s="9" t="str">
        <x:v>D-C</x:v>
      </x:c>
      <x:c r="C13" s="11" t="n">
        <x:v>23</x:v>
      </x:c>
      <x:c r="D13" s="11" t="n">
        <x:v>9</x:v>
      </x:c>
      <x:c r="E13" s="9" t="str">
        <x:v>Judge accuracy</x:v>
      </x:c>
      <x:c r="F13" s="12" t="n">
        <x:v>100</x:v>
      </x:c>
      <x:c r="G13" s="12" t="n">
        <x:v>91.30434782608695</x:v>
      </x:c>
      <x:c r="H13" s="13" t="n">
        <x:f>G13-F13</x:f>
        <x:v>-8.695652173913047</x:v>
      </x:c>
      <x:c r="I13" s="13" t="n">
        <x:v>-15.384615384615385</x:v>
      </x:c>
      <x:c r="J13" s="13" t="n">
        <x:v>0</x:v>
      </x:c>
      <x:c r="K13" s="11" t="n">
        <x:v>0</x:v>
      </x:c>
      <x:c r="L13" s="11" t="n">
        <x:v>2</x:v>
      </x:c>
      <x:c r="M13" s="11" t="n">
        <x:v>21</x:v>
      </x:c>
    </x:row>
    <x:row r="14" ht="30" customHeight="1">
      <x:c r="A14" s="9" t="str">
        <x:v>LoCoMo adversarial</x:v>
      </x:c>
      <x:c r="B14" s="9" t="str">
        <x:v>C-A</x:v>
      </x:c>
      <x:c r="C14" s="11" t="n">
        <x:v>23</x:v>
      </x:c>
      <x:c r="D14" s="11" t="n">
        <x:v>9</x:v>
      </x:c>
      <x:c r="E14" s="9" t="str">
        <x:v>Judge accuracy</x:v>
      </x:c>
      <x:c r="F14" s="12" t="n">
        <x:v>91.30434782608695</x:v>
      </x:c>
      <x:c r="G14" s="12" t="n">
        <x:v>100</x:v>
      </x:c>
      <x:c r="H14" s="13" t="n">
        <x:f>G14-F14</x:f>
        <x:v>8.695652173913047</x:v>
      </x:c>
      <x:c r="I14" s="13" t="n">
        <x:v>0</x:v>
      </x:c>
      <x:c r="J14" s="13" t="n">
        <x:v>20</x:v>
      </x:c>
      <x:c r="K14" s="11" t="n">
        <x:v>2</x:v>
      </x:c>
      <x:c r="L14" s="11" t="n">
        <x:v>0</x:v>
      </x:c>
      <x:c r="M14" s="11" t="n">
        <x:v>21</x:v>
      </x:c>
    </x:row>
    <x:row r="15" ht="30" customHeight="1">
      <x:c r="A15" s="9" t="str">
        <x:v>LoCoMo adversarial</x:v>
      </x:c>
      <x:c r="B15" s="9" t="str">
        <x:v>D-A</x:v>
      </x:c>
      <x:c r="C15" s="11" t="n">
        <x:v>23</x:v>
      </x:c>
      <x:c r="D15" s="11" t="n">
        <x:v>9</x:v>
      </x:c>
      <x:c r="E15" s="9" t="str">
        <x:v>Judge accuracy</x:v>
      </x:c>
      <x:c r="F15" s="12" t="n">
        <x:v>91.30434782608695</x:v>
      </x:c>
      <x:c r="G15" s="12" t="n">
        <x:v>91.30434782608695</x:v>
      </x:c>
      <x:c r="H15" s="13" t="n">
        <x:f>G15-F15</x:f>
        <x:v>0</x:v>
      </x:c>
      <x:c r="I15" s="13" t="n">
        <x:v>-12.003030303030302</x:v>
      </x:c>
      <x:c r="J15" s="13" t="n">
        <x:v>9.67741935483871</x:v>
      </x:c>
      <x:c r="K15" s="11" t="n">
        <x:v>1</x:v>
      </x:c>
      <x:c r="L15" s="11" t="n">
        <x:v>1</x:v>
      </x:c>
      <x:c r="M15" s="11" t="n">
        <x:v>21</x:v>
      </x:c>
    </x:row>
    <x:row r="16" ht="30" customHeight="1">
      <x:c r="A16" s="9" t="str">
        <x:v>MuSiQue</x:v>
      </x:c>
      <x:c r="B16" s="9" t="str">
        <x:v>B-A</x:v>
      </x:c>
      <x:c r="C16" s="11" t="n">
        <x:v>100</x:v>
      </x:c>
      <x:c r="D16" s="11" t="n">
        <x:v>1</x:v>
      </x:c>
      <x:c r="E16" s="9" t="str">
        <x:v>F1</x:v>
      </x:c>
      <x:c r="F16" s="12" t="n">
        <x:v>53.01118326118326</x:v>
      </x:c>
      <x:c r="G16" s="12" t="n">
        <x:v>49.76228771228771</x:v>
      </x:c>
      <x:c r="H16" s="13" t="n">
        <x:f>G16-F16</x:f>
        <x:v>-3.248895548895554</x:v>
      </x:c>
      <x:c r="I16" s="13"/>
      <x:c r="J16" s="13"/>
      <x:c r="K16" s="11" t="n">
        <x:v>10</x:v>
      </x:c>
      <x:c r="L16" s="11" t="n">
        <x:v>16</x:v>
      </x:c>
      <x:c r="M16" s="11" t="n">
        <x:v>74</x:v>
      </x:c>
    </x:row>
    <x:row r="17" ht="30" customHeight="1">
      <x:c r="A17" s="9" t="str">
        <x:v>MuSiQue</x:v>
      </x:c>
      <x:c r="B17" s="9" t="str">
        <x:v>C-B</x:v>
      </x:c>
      <x:c r="C17" s="11" t="n">
        <x:v>100</x:v>
      </x:c>
      <x:c r="D17" s="11" t="n">
        <x:v>1</x:v>
      </x:c>
      <x:c r="E17" s="9" t="str">
        <x:v>F1</x:v>
      </x:c>
      <x:c r="F17" s="12" t="n">
        <x:v>49.76228771228771</x:v>
      </x:c>
      <x:c r="G17" s="12" t="n">
        <x:v>49.86424849660144</x:v>
      </x:c>
      <x:c r="H17" s="13" t="n">
        <x:f>G17-F17</x:f>
        <x:v>0.10196078431373223</x:v>
      </x:c>
      <x:c r="I17" s="13"/>
      <x:c r="J17" s="13"/>
      <x:c r="K17" s="11" t="n">
        <x:v>6</x:v>
      </x:c>
      <x:c r="L17" s="11" t="n">
        <x:v>6</x:v>
      </x:c>
      <x:c r="M17" s="11" t="n">
        <x:v>88</x:v>
      </x:c>
    </x:row>
    <x:row r="18" ht="30" customHeight="1">
      <x:c r="A18" s="9" t="str">
        <x:v>MuSiQue</x:v>
      </x:c>
      <x:c r="B18" s="9" t="str">
        <x:v>D-C</x:v>
      </x:c>
      <x:c r="C18" s="11" t="n">
        <x:v>100</x:v>
      </x:c>
      <x:c r="D18" s="11" t="n">
        <x:v>1</x:v>
      </x:c>
      <x:c r="E18" s="9" t="str">
        <x:v>F1</x:v>
      </x:c>
      <x:c r="F18" s="12" t="n">
        <x:v>49.86424849660144</x:v>
      </x:c>
      <x:c r="G18" s="12" t="n">
        <x:v>53.81680716943875</x:v>
      </x:c>
      <x:c r="H18" s="13" t="n">
        <x:f>G18-F18</x:f>
        <x:v>3.9525586728373128</x:v>
      </x:c>
      <x:c r="I18" s="13"/>
      <x:c r="J18" s="13"/>
      <x:c r="K18" s="11" t="n">
        <x:v>16</x:v>
      </x:c>
      <x:c r="L18" s="11" t="n">
        <x:v>13</x:v>
      </x:c>
      <x:c r="M18" s="11" t="n">
        <x:v>71</x:v>
      </x:c>
    </x:row>
    <x:row r="19" ht="30" customHeight="1">
      <x:c r="A19" s="9" t="str">
        <x:v>MuSiQue</x:v>
      </x:c>
      <x:c r="B19" s="9" t="str">
        <x:v>C-A</x:v>
      </x:c>
      <x:c r="C19" s="11" t="n">
        <x:v>100</x:v>
      </x:c>
      <x:c r="D19" s="11" t="n">
        <x:v>1</x:v>
      </x:c>
      <x:c r="E19" s="9" t="str">
        <x:v>F1</x:v>
      </x:c>
      <x:c r="F19" s="12" t="n">
        <x:v>53.01118326118326</x:v>
      </x:c>
      <x:c r="G19" s="12" t="n">
        <x:v>49.86424849660144</x:v>
      </x:c>
      <x:c r="H19" s="13" t="n">
        <x:f>G19-F19</x:f>
        <x:v>-3.1469347645818218</x:v>
      </x:c>
      <x:c r="I19" s="13"/>
      <x:c r="J19" s="13"/>
      <x:c r="K19" s="11" t="n">
        <x:v>11</x:v>
      </x:c>
      <x:c r="L19" s="11" t="n">
        <x:v>18</x:v>
      </x:c>
      <x:c r="M19" s="11" t="n">
        <x:v>71</x:v>
      </x:c>
    </x:row>
    <x:row r="20" ht="30" customHeight="1">
      <x:c r="A20" s="9" t="str">
        <x:v>MuSiQue</x:v>
      </x:c>
      <x:c r="B20" s="9" t="str">
        <x:v>D-A</x:v>
      </x:c>
      <x:c r="C20" s="11" t="n">
        <x:v>100</x:v>
      </x:c>
      <x:c r="D20" s="11" t="n">
        <x:v>1</x:v>
      </x:c>
      <x:c r="E20" s="9" t="str">
        <x:v>F1</x:v>
      </x:c>
      <x:c r="F20" s="12" t="n">
        <x:v>53.01118326118326</x:v>
      </x:c>
      <x:c r="G20" s="12" t="n">
        <x:v>53.81680716943875</x:v>
      </x:c>
      <x:c r="H20" s="13" t="n">
        <x:f>G20-F20</x:f>
        <x:v>0.805623908255491</x:v>
      </x:c>
      <x:c r="I20" s="13"/>
      <x:c r="J20" s="13"/>
      <x:c r="K20" s="11" t="n">
        <x:v>12</x:v>
      </x:c>
      <x:c r="L20" s="11" t="n">
        <x:v>14</x:v>
      </x:c>
      <x:c r="M20" s="11" t="n">
        <x:v>74</x:v>
      </x:c>
    </x:row>
    <x:row r="21" ht="30" customHeight="1">
      <x:c r="A21" s="9" t="str">
        <x:v>2WikiMultiHopQA</x:v>
      </x:c>
      <x:c r="B21" s="9" t="str">
        <x:v>B-A</x:v>
      </x:c>
      <x:c r="C21" s="11" t="n">
        <x:v>100</x:v>
      </x:c>
      <x:c r="D21" s="11" t="n">
        <x:v>1</x:v>
      </x:c>
      <x:c r="E21" s="9" t="str">
        <x:v>F1</x:v>
      </x:c>
      <x:c r="F21" s="12" t="n">
        <x:v>57.183264476359106</x:v>
      </x:c>
      <x:c r="G21" s="12" t="n">
        <x:v>58.05641025641025</x:v>
      </x:c>
      <x:c r="H21" s="13" t="n">
        <x:f>G21-F21</x:f>
        <x:v>0.8731457800511464</x:v>
      </x:c>
      <x:c r="I21" s="13"/>
      <x:c r="J21" s="13"/>
      <x:c r="K21" s="11" t="n">
        <x:v>6</x:v>
      </x:c>
      <x:c r="L21" s="11" t="n">
        <x:v>8</x:v>
      </x:c>
      <x:c r="M21" s="11" t="n">
        <x:v>86</x:v>
      </x:c>
    </x:row>
    <x:row r="22" ht="30" customHeight="1">
      <x:c r="A22" s="9" t="str">
        <x:v>2WikiMultiHopQA</x:v>
      </x:c>
      <x:c r="B22" s="9" t="str">
        <x:v>C-B</x:v>
      </x:c>
      <x:c r="C22" s="11" t="n">
        <x:v>100</x:v>
      </x:c>
      <x:c r="D22" s="11" t="n">
        <x:v>1</x:v>
      </x:c>
      <x:c r="E22" s="9" t="str">
        <x:v>F1</x:v>
      </x:c>
      <x:c r="F22" s="12" t="n">
        <x:v>58.05641025641025</x:v>
      </x:c>
      <x:c r="G22" s="12" t="n">
        <x:v>60.889743589743595</x:v>
      </x:c>
      <x:c r="H22" s="13" t="n">
        <x:f>G22-F22</x:f>
        <x:v>2.833333333333343</x:v>
      </x:c>
      <x:c r="I22" s="13"/>
      <x:c r="J22" s="13"/>
      <x:c r="K22" s="11" t="n">
        <x:v>5</x:v>
      </x:c>
      <x:c r="L22" s="11" t="n">
        <x:v>2</x:v>
      </x:c>
      <x:c r="M22" s="11" t="n">
        <x:v>93</x:v>
      </x:c>
    </x:row>
    <x:row r="23" ht="30" customHeight="1">
      <x:c r="A23" s="9" t="str">
        <x:v>2WikiMultiHopQA</x:v>
      </x:c>
      <x:c r="B23" s="9" t="str">
        <x:v>D-C</x:v>
      </x:c>
      <x:c r="C23" s="11" t="n">
        <x:v>100</x:v>
      </x:c>
      <x:c r="D23" s="11" t="n">
        <x:v>1</x:v>
      </x:c>
      <x:c r="E23" s="9" t="str">
        <x:v>F1</x:v>
      </x:c>
      <x:c r="F23" s="12" t="n">
        <x:v>60.889743589743595</x:v>
      </x:c>
      <x:c r="G23" s="12" t="n">
        <x:v>55.406410256410254</x:v>
      </x:c>
      <x:c r="H23" s="13" t="n">
        <x:f>G23-F23</x:f>
        <x:v>-5.483333333333341</x:v>
      </x:c>
      <x:c r="I23" s="13"/>
      <x:c r="J23" s="13"/>
      <x:c r="K23" s="11" t="n">
        <x:v>5</x:v>
      </x:c>
      <x:c r="L23" s="11" t="n">
        <x:v>10</x:v>
      </x:c>
      <x:c r="M23" s="11" t="n">
        <x:v>85</x:v>
      </x:c>
    </x:row>
    <x:row r="24" ht="30" customHeight="1">
      <x:c r="A24" s="9" t="str">
        <x:v>2WikiMultiHopQA</x:v>
      </x:c>
      <x:c r="B24" s="9" t="str">
        <x:v>C-A</x:v>
      </x:c>
      <x:c r="C24" s="11" t="n">
        <x:v>100</x:v>
      </x:c>
      <x:c r="D24" s="11" t="n">
        <x:v>1</x:v>
      </x:c>
      <x:c r="E24" s="9" t="str">
        <x:v>F1</x:v>
      </x:c>
      <x:c r="F24" s="12" t="n">
        <x:v>57.183264476359106</x:v>
      </x:c>
      <x:c r="G24" s="12" t="n">
        <x:v>60.889743589743595</x:v>
      </x:c>
      <x:c r="H24" s="13" t="n">
        <x:f>G24-F24</x:f>
        <x:v>3.706479113384489</x:v>
      </x:c>
      <x:c r="I24" s="13"/>
      <x:c r="J24" s="13"/>
      <x:c r="K24" s="11" t="n">
        <x:v>9</x:v>
      </x:c>
      <x:c r="L24" s="11" t="n">
        <x:v>7</x:v>
      </x:c>
      <x:c r="M24" s="11" t="n">
        <x:v>84</x:v>
      </x:c>
    </x:row>
    <x:row r="25" ht="30" customHeight="1">
      <x:c r="A25" s="9" t="str">
        <x:v>2WikiMultiHopQA</x:v>
      </x:c>
      <x:c r="B25" s="9" t="str">
        <x:v>D-A</x:v>
      </x:c>
      <x:c r="C25" s="11" t="n">
        <x:v>100</x:v>
      </x:c>
      <x:c r="D25" s="11" t="n">
        <x:v>1</x:v>
      </x:c>
      <x:c r="E25" s="9" t="str">
        <x:v>F1</x:v>
      </x:c>
      <x:c r="F25" s="12" t="n">
        <x:v>57.183264476359106</x:v>
      </x:c>
      <x:c r="G25" s="12" t="n">
        <x:v>55.406410256410254</x:v>
      </x:c>
      <x:c r="H25" s="13" t="n">
        <x:f>G25-F25</x:f>
        <x:v>-1.7768542199488522</x:v>
      </x:c>
      <x:c r="I25" s="13"/>
      <x:c r="J25" s="13"/>
      <x:c r="K25" s="11" t="n">
        <x:v>5</x:v>
      </x:c>
      <x:c r="L25" s="11" t="n">
        <x:v>11</x:v>
      </x:c>
      <x:c r="M25" s="11" t="n">
        <x:v>84</x:v>
      </x:c>
    </x:row>
    <x:row r="26" ht="30" customHeight="1">
      <x:c r="A26" s="9" t="str">
        <x:v>LongMemEval S</x:v>
      </x:c>
      <x:c r="B26" s="9" t="str">
        <x:v>B-A</x:v>
      </x:c>
      <x:c r="C26" s="11" t="n">
        <x:v>100</x:v>
      </x:c>
      <x:c r="D26" s="11" t="n">
        <x:v>100</x:v>
      </x:c>
      <x:c r="E26" s="9" t="str">
        <x:v>Judge accuracy</x:v>
      </x:c>
      <x:c r="F26" s="12" t="n">
        <x:v>72</x:v>
      </x:c>
      <x:c r="G26" s="12" t="n">
        <x:v>75</x:v>
      </x:c>
      <x:c r="H26" s="13" t="n">
        <x:f>G26-F26</x:f>
        <x:v>3</x:v>
      </x:c>
      <x:c r="I26" s="13" t="n">
        <x:v>-4</x:v>
      </x:c>
      <x:c r="J26" s="13" t="n">
        <x:v>10</x:v>
      </x:c>
      <x:c r="K26" s="11" t="n">
        <x:v>8</x:v>
      </x:c>
      <x:c r="L26" s="11" t="n">
        <x:v>5</x:v>
      </x:c>
      <x:c r="M26" s="11" t="n">
        <x:v>87</x:v>
      </x:c>
    </x:row>
    <x:row r="27" ht="30" customHeight="1">
      <x:c r="A27" s="9" t="str">
        <x:v>LongMemEval S</x:v>
      </x:c>
      <x:c r="B27" s="9" t="str">
        <x:v>C-B</x:v>
      </x:c>
      <x:c r="C27" s="11" t="n">
        <x:v>100</x:v>
      </x:c>
      <x:c r="D27" s="11" t="n">
        <x:v>100</x:v>
      </x:c>
      <x:c r="E27" s="9" t="str">
        <x:v>Judge accuracy</x:v>
      </x:c>
      <x:c r="F27" s="12" t="n">
        <x:v>75</x:v>
      </x:c>
      <x:c r="G27" s="12" t="n">
        <x:v>74</x:v>
      </x:c>
      <x:c r="H27" s="13" t="n">
        <x:f>G27-F27</x:f>
        <x:v>-1</x:v>
      </x:c>
      <x:c r="I27" s="13" t="n">
        <x:v>-8</x:v>
      </x:c>
      <x:c r="J27" s="13" t="n">
        <x:v>5</x:v>
      </x:c>
      <x:c r="K27" s="11" t="n">
        <x:v>5</x:v>
      </x:c>
      <x:c r="L27" s="11" t="n">
        <x:v>6</x:v>
      </x:c>
      <x:c r="M27" s="11" t="n">
        <x:v>89</x:v>
      </x:c>
    </x:row>
    <x:row r="28" ht="30" customHeight="1">
      <x:c r="A28" s="9" t="str">
        <x:v>LongMemEval S</x:v>
      </x:c>
      <x:c r="B28" s="9" t="str">
        <x:v>D-C</x:v>
      </x:c>
      <x:c r="C28" s="11" t="n">
        <x:v>100</x:v>
      </x:c>
      <x:c r="D28" s="11" t="n">
        <x:v>100</x:v>
      </x:c>
      <x:c r="E28" s="9" t="str">
        <x:v>Judge accuracy</x:v>
      </x:c>
      <x:c r="F28" s="12" t="n">
        <x:v>74</x:v>
      </x:c>
      <x:c r="G28" s="12" t="n">
        <x:v>75</x:v>
      </x:c>
      <x:c r="H28" s="13" t="n">
        <x:f>G28-F28</x:f>
        <x:v>1</x:v>
      </x:c>
      <x:c r="I28" s="13" t="n">
        <x:v>-4</x:v>
      </x:c>
      <x:c r="J28" s="13" t="n">
        <x:v>6</x:v>
      </x:c>
      <x:c r="K28" s="11" t="n">
        <x:v>4</x:v>
      </x:c>
      <x:c r="L28" s="11" t="n">
        <x:v>3</x:v>
      </x:c>
      <x:c r="M28" s="11" t="n">
        <x:v>93</x:v>
      </x:c>
    </x:row>
    <x:row r="29" ht="30" customHeight="1">
      <x:c r="A29" s="9" t="str">
        <x:v>LongMemEval S</x:v>
      </x:c>
      <x:c r="B29" s="9" t="str">
        <x:v>C-A</x:v>
      </x:c>
      <x:c r="C29" s="11" t="n">
        <x:v>100</x:v>
      </x:c>
      <x:c r="D29" s="11" t="n">
        <x:v>100</x:v>
      </x:c>
      <x:c r="E29" s="9" t="str">
        <x:v>Judge accuracy</x:v>
      </x:c>
      <x:c r="F29" s="12" t="n">
        <x:v>72</x:v>
      </x:c>
      <x:c r="G29" s="12" t="n">
        <x:v>74</x:v>
      </x:c>
      <x:c r="H29" s="13" t="n">
        <x:f>G29-F29</x:f>
        <x:v>2</x:v>
      </x:c>
      <x:c r="I29" s="13" t="n">
        <x:v>-5</x:v>
      </x:c>
      <x:c r="J29" s="13" t="n">
        <x:v>9</x:v>
      </x:c>
      <x:c r="K29" s="11" t="n">
        <x:v>7</x:v>
      </x:c>
      <x:c r="L29" s="11" t="n">
        <x:v>5</x:v>
      </x:c>
      <x:c r="M29" s="11" t="n">
        <x:v>88</x:v>
      </x:c>
    </x:row>
    <x:row r="30" ht="30" customHeight="1">
      <x:c r="A30" s="9" t="str">
        <x:v>LongMemEval S</x:v>
      </x:c>
      <x:c r="B30" s="9" t="str">
        <x:v>D-A</x:v>
      </x:c>
      <x:c r="C30" s="11" t="n">
        <x:v>100</x:v>
      </x:c>
      <x:c r="D30" s="11" t="n">
        <x:v>100</x:v>
      </x:c>
      <x:c r="E30" s="9" t="str">
        <x:v>Judge accuracy</x:v>
      </x:c>
      <x:c r="F30" s="12" t="n">
        <x:v>72</x:v>
      </x:c>
      <x:c r="G30" s="12" t="n">
        <x:v>75</x:v>
      </x:c>
      <x:c r="H30" s="13" t="n">
        <x:f>G30-F30</x:f>
        <x:v>3</x:v>
      </x:c>
      <x:c r="I30" s="13" t="n">
        <x:v>-4</x:v>
      </x:c>
      <x:c r="J30" s="13" t="n">
        <x:v>9</x:v>
      </x:c>
      <x:c r="K30" s="11" t="n">
        <x:v>7</x:v>
      </x:c>
      <x:c r="L30" s="11" t="n">
        <x:v>4</x:v>
      </x:c>
      <x:c r="M30" s="11" t="n">
        <x:v>89</x:v>
      </x:c>
    </x:row>
    <x:row r="31" ht="30" customHeight="1">
      <x:c r="A31" s="9" t="str">
        <x:v>LongMemEval oracle</x:v>
      </x:c>
      <x:c r="B31" s="9" t="str">
        <x:v>B-A</x:v>
      </x:c>
      <x:c r="C31" s="11" t="n">
        <x:v>100</x:v>
      </x:c>
      <x:c r="D31" s="11" t="n">
        <x:v>100</x:v>
      </x:c>
      <x:c r="E31" s="9" t="str">
        <x:v>Judge accuracy</x:v>
      </x:c>
      <x:c r="F31" s="12" t="n">
        <x:v>76</x:v>
      </x:c>
      <x:c r="G31" s="12" t="n">
        <x:v>74</x:v>
      </x:c>
      <x:c r="H31" s="13" t="n">
        <x:f>G31-F31</x:f>
        <x:v>-2</x:v>
      </x:c>
      <x:c r="I31" s="13" t="n">
        <x:v>-7.000000000000001</x:v>
      </x:c>
      <x:c r="J31" s="13" t="n">
        <x:v>3</x:v>
      </x:c>
      <x:c r="K31" s="11" t="n">
        <x:v>3</x:v>
      </x:c>
      <x:c r="L31" s="11" t="n">
        <x:v>5</x:v>
      </x:c>
      <x:c r="M31" s="11" t="n">
        <x:v>92</x:v>
      </x:c>
    </x:row>
    <x:row r="32" ht="30" customHeight="1">
      <x:c r="A32" s="9" t="str">
        <x:v>LongMemEval oracle</x:v>
      </x:c>
      <x:c r="B32" s="9" t="str">
        <x:v>C-B</x:v>
      </x:c>
      <x:c r="C32" s="11" t="n">
        <x:v>100</x:v>
      </x:c>
      <x:c r="D32" s="11" t="n">
        <x:v>100</x:v>
      </x:c>
      <x:c r="E32" s="9" t="str">
        <x:v>Judge accuracy</x:v>
      </x:c>
      <x:c r="F32" s="12" t="n">
        <x:v>74</x:v>
      </x:c>
      <x:c r="G32" s="12" t="n">
        <x:v>80</x:v>
      </x:c>
      <x:c r="H32" s="13" t="n">
        <x:f>G32-F32</x:f>
        <x:v>6</x:v>
      </x:c>
      <x:c r="I32" s="13" t="n">
        <x:v>2</x:v>
      </x:c>
      <x:c r="J32" s="13" t="n">
        <x:v>11</x:v>
      </x:c>
      <x:c r="K32" s="11" t="n">
        <x:v>6</x:v>
      </x:c>
      <x:c r="L32" s="11" t="n">
        <x:v>0</x:v>
      </x:c>
      <x:c r="M32" s="11" t="n">
        <x:v>94</x:v>
      </x:c>
    </x:row>
    <x:row r="33" ht="30" customHeight="1">
      <x:c r="A33" s="9" t="str">
        <x:v>LongMemEval oracle</x:v>
      </x:c>
      <x:c r="B33" s="9" t="str">
        <x:v>D-C</x:v>
      </x:c>
      <x:c r="C33" s="11" t="n">
        <x:v>100</x:v>
      </x:c>
      <x:c r="D33" s="11" t="n">
        <x:v>100</x:v>
      </x:c>
      <x:c r="E33" s="9" t="str">
        <x:v>Judge accuracy</x:v>
      </x:c>
      <x:c r="F33" s="12" t="n">
        <x:v>80</x:v>
      </x:c>
      <x:c r="G33" s="12" t="n">
        <x:v>76</x:v>
      </x:c>
      <x:c r="H33" s="13" t="n">
        <x:f>G33-F33</x:f>
        <x:v>-4</x:v>
      </x:c>
      <x:c r="I33" s="13" t="n">
        <x:v>-11</x:v>
      </x:c>
      <x:c r="J33" s="13" t="n">
        <x:v>2</x:v>
      </x:c>
      <x:c r="K33" s="11" t="n">
        <x:v>3</x:v>
      </x:c>
      <x:c r="L33" s="11" t="n">
        <x:v>7</x:v>
      </x:c>
      <x:c r="M33" s="11" t="n">
        <x:v>90</x:v>
      </x:c>
    </x:row>
    <x:row r="34" ht="30" customHeight="1">
      <x:c r="A34" s="9" t="str">
        <x:v>LongMemEval oracle</x:v>
      </x:c>
      <x:c r="B34" s="9" t="str">
        <x:v>C-A</x:v>
      </x:c>
      <x:c r="C34" s="11" t="n">
        <x:v>100</x:v>
      </x:c>
      <x:c r="D34" s="11" t="n">
        <x:v>100</x:v>
      </x:c>
      <x:c r="E34" s="9" t="str">
        <x:v>Judge accuracy</x:v>
      </x:c>
      <x:c r="F34" s="12" t="n">
        <x:v>76</x:v>
      </x:c>
      <x:c r="G34" s="12" t="n">
        <x:v>80</x:v>
      </x:c>
      <x:c r="H34" s="13" t="n">
        <x:f>G34-F34</x:f>
        <x:v>4</x:v>
      </x:c>
      <x:c r="I34" s="13" t="n">
        <x:v>-2</x:v>
      </x:c>
      <x:c r="J34" s="13" t="n">
        <x:v>10</x:v>
      </x:c>
      <x:c r="K34" s="11" t="n">
        <x:v>7</x:v>
      </x:c>
      <x:c r="L34" s="11" t="n">
        <x:v>3</x:v>
      </x:c>
      <x:c r="M34" s="11" t="n">
        <x:v>90</x:v>
      </x:c>
    </x:row>
    <x:row r="35" ht="30" customHeight="1">
      <x:c r="A35" s="9" t="str">
        <x:v>LongMemEval oracle</x:v>
      </x:c>
      <x:c r="B35" s="9" t="str">
        <x:v>D-A</x:v>
      </x:c>
      <x:c r="C35" s="11" t="n">
        <x:v>100</x:v>
      </x:c>
      <x:c r="D35" s="11" t="n">
        <x:v>100</x:v>
      </x:c>
      <x:c r="E35" s="9" t="str">
        <x:v>Judge accuracy</x:v>
      </x:c>
      <x:c r="F35" s="12" t="n">
        <x:v>76</x:v>
      </x:c>
      <x:c r="G35" s="12" t="n">
        <x:v>76</x:v>
      </x:c>
      <x:c r="H35" s="13" t="n">
        <x:f>G35-F35</x:f>
        <x:v>0</x:v>
      </x:c>
      <x:c r="I35" s="13" t="n">
        <x:v>-8</x:v>
      </x:c>
      <x:c r="J35" s="13" t="n">
        <x:v>8</x:v>
      </x:c>
      <x:c r="K35" s="11" t="n">
        <x:v>8</x:v>
      </x:c>
      <x:c r="L35" s="11" t="n">
        <x:v>8</x:v>
      </x:c>
      <x:c r="M35" s="11" t="n">
        <x:v>84</x:v>
      </x:c>
    </x:row>
    <x:row r="36" ht="30" customHeight="1">
      <x:c r="A36" s="9" t="str">
        <x:v>MultiHop-RAG</x:v>
      </x:c>
      <x:c r="B36" s="9" t="str">
        <x:v>B-A</x:v>
      </x:c>
      <x:c r="C36" s="11" t="n">
        <x:v>100</x:v>
      </x:c>
      <x:c r="D36" s="11" t="n">
        <x:v>1</x:v>
      </x:c>
      <x:c r="E36" s="9" t="str">
        <x:v>Judge accuracy</x:v>
      </x:c>
      <x:c r="F36" s="12" t="n">
        <x:v>53</x:v>
      </x:c>
      <x:c r="G36" s="12" t="n">
        <x:v>54</x:v>
      </x:c>
      <x:c r="H36" s="13" t="n">
        <x:f>G36-F36</x:f>
        <x:v>1</x:v>
      </x:c>
      <x:c r="I36" s="13"/>
      <x:c r="J36" s="13"/>
      <x:c r="K36" s="11" t="n">
        <x:v>7</x:v>
      </x:c>
      <x:c r="L36" s="11" t="n">
        <x:v>6</x:v>
      </x:c>
      <x:c r="M36" s="11" t="n">
        <x:v>87</x:v>
      </x:c>
    </x:row>
    <x:row r="37" ht="30" customHeight="1">
      <x:c r="A37" s="9" t="str">
        <x:v>MultiHop-RAG</x:v>
      </x:c>
      <x:c r="B37" s="9" t="str">
        <x:v>C-B</x:v>
      </x:c>
      <x:c r="C37" s="11" t="n">
        <x:v>100</x:v>
      </x:c>
      <x:c r="D37" s="11" t="n">
        <x:v>1</x:v>
      </x:c>
      <x:c r="E37" s="9" t="str">
        <x:v>Judge accuracy</x:v>
      </x:c>
      <x:c r="F37" s="12" t="n">
        <x:v>54</x:v>
      </x:c>
      <x:c r="G37" s="12" t="n">
        <x:v>56.00000000000001</x:v>
      </x:c>
      <x:c r="H37" s="13" t="n">
        <x:f>G37-F37</x:f>
        <x:v>2.000000000000007</x:v>
      </x:c>
      <x:c r="I37" s="13"/>
      <x:c r="J37" s="13"/>
      <x:c r="K37" s="11" t="n">
        <x:v>8</x:v>
      </x:c>
      <x:c r="L37" s="11" t="n">
        <x:v>6</x:v>
      </x:c>
      <x:c r="M37" s="11" t="n">
        <x:v>86</x:v>
      </x:c>
    </x:row>
    <x:row r="38" ht="30" customHeight="1">
      <x:c r="A38" s="9" t="str">
        <x:v>MultiHop-RAG</x:v>
      </x:c>
      <x:c r="B38" s="9" t="str">
        <x:v>D-C</x:v>
      </x:c>
      <x:c r="C38" s="11" t="n">
        <x:v>100</x:v>
      </x:c>
      <x:c r="D38" s="11" t="n">
        <x:v>1</x:v>
      </x:c>
      <x:c r="E38" s="9" t="str">
        <x:v>Judge accuracy</x:v>
      </x:c>
      <x:c r="F38" s="12" t="n">
        <x:v>56.00000000000001</x:v>
      </x:c>
      <x:c r="G38" s="12" t="n">
        <x:v>56.99999999999999</x:v>
      </x:c>
      <x:c r="H38" s="13" t="n">
        <x:f>G38-F38</x:f>
        <x:v>0.9999999999999858</x:v>
      </x:c>
      <x:c r="I38" s="13"/>
      <x:c r="J38" s="13"/>
      <x:c r="K38" s="11" t="n">
        <x:v>5</x:v>
      </x:c>
      <x:c r="L38" s="11" t="n">
        <x:v>4</x:v>
      </x:c>
      <x:c r="M38" s="11" t="n">
        <x:v>91</x:v>
      </x:c>
    </x:row>
    <x:row r="39" ht="30" customHeight="1">
      <x:c r="A39" s="9" t="str">
        <x:v>MultiHop-RAG</x:v>
      </x:c>
      <x:c r="B39" s="9" t="str">
        <x:v>C-A</x:v>
      </x:c>
      <x:c r="C39" s="11" t="n">
        <x:v>100</x:v>
      </x:c>
      <x:c r="D39" s="11" t="n">
        <x:v>1</x:v>
      </x:c>
      <x:c r="E39" s="9" t="str">
        <x:v>Judge accuracy</x:v>
      </x:c>
      <x:c r="F39" s="12" t="n">
        <x:v>53</x:v>
      </x:c>
      <x:c r="G39" s="12" t="n">
        <x:v>56.00000000000001</x:v>
      </x:c>
      <x:c r="H39" s="13" t="n">
        <x:f>G39-F39</x:f>
        <x:v>3.000000000000007</x:v>
      </x:c>
      <x:c r="I39" s="13"/>
      <x:c r="J39" s="13"/>
      <x:c r="K39" s="11" t="n">
        <x:v>5</x:v>
      </x:c>
      <x:c r="L39" s="11" t="n">
        <x:v>2</x:v>
      </x:c>
      <x:c r="M39" s="11" t="n">
        <x:v>93</x:v>
      </x:c>
    </x:row>
    <x:row r="40" ht="30" customHeight="1">
      <x:c r="A40" s="9" t="str">
        <x:v>MultiHop-RAG</x:v>
      </x:c>
      <x:c r="B40" s="9" t="str">
        <x:v>D-A</x:v>
      </x:c>
      <x:c r="C40" s="11" t="n">
        <x:v>100</x:v>
      </x:c>
      <x:c r="D40" s="11" t="n">
        <x:v>1</x:v>
      </x:c>
      <x:c r="E40" s="9" t="str">
        <x:v>Judge accuracy</x:v>
      </x:c>
      <x:c r="F40" s="12" t="n">
        <x:v>53</x:v>
      </x:c>
      <x:c r="G40" s="12" t="n">
        <x:v>56.99999999999999</x:v>
      </x:c>
      <x:c r="H40" s="13" t="n">
        <x:f>G40-F40</x:f>
        <x:v>3.999999999999993</x:v>
      </x:c>
      <x:c r="I40" s="13"/>
      <x:c r="J40" s="13"/>
      <x:c r="K40" s="11" t="n">
        <x:v>7</x:v>
      </x:c>
      <x:c r="L40" s="11" t="n">
        <x:v>3</x:v>
      </x:c>
      <x:c r="M40" s="11" t="n">
        <x:v>90</x:v>
      </x:c>
    </x:row>
    <x:row r="41" ht="30" customHeight="1">
      <x:c r="A41" s="9" t="str">
        <x:v>FactConsolidation SH 6K</x:v>
      </x:c>
      <x:c r="B41" s="9" t="str">
        <x:v>B-A</x:v>
      </x:c>
      <x:c r="C41" s="11" t="n">
        <x:v>100</x:v>
      </x:c>
      <x:c r="D41" s="11" t="n">
        <x:v>1</x:v>
      </x:c>
      <x:c r="E41" s="9" t="str">
        <x:v>Substring EM</x:v>
      </x:c>
      <x:c r="F41" s="12" t="n">
        <x:v>100</x:v>
      </x:c>
      <x:c r="G41" s="12" t="n">
        <x:v>87</x:v>
      </x:c>
      <x:c r="H41" s="13" t="n">
        <x:f>G41-F41</x:f>
        <x:v>-13</x:v>
      </x:c>
      <x:c r="I41" s="13"/>
      <x:c r="J41" s="13"/>
      <x:c r="K41" s="11" t="n">
        <x:v>0</x:v>
      </x:c>
      <x:c r="L41" s="11" t="n">
        <x:v>13</x:v>
      </x:c>
      <x:c r="M41" s="11" t="n">
        <x:v>87</x:v>
      </x:c>
    </x:row>
    <x:row r="42" ht="30" customHeight="1">
      <x:c r="A42" s="9" t="str">
        <x:v>FactConsolidation SH 6K</x:v>
      </x:c>
      <x:c r="B42" s="9" t="str">
        <x:v>C-B</x:v>
      </x:c>
      <x:c r="C42" s="11" t="n">
        <x:v>100</x:v>
      </x:c>
      <x:c r="D42" s="11" t="n">
        <x:v>1</x:v>
      </x:c>
      <x:c r="E42" s="9" t="str">
        <x:v>Substring EM</x:v>
      </x:c>
      <x:c r="F42" s="12" t="n">
        <x:v>87</x:v>
      </x:c>
      <x:c r="G42" s="12" t="n">
        <x:v>84</x:v>
      </x:c>
      <x:c r="H42" s="13" t="n">
        <x:f>G42-F42</x:f>
        <x:v>-3</x:v>
      </x:c>
      <x:c r="I42" s="13"/>
      <x:c r="J42" s="13"/>
      <x:c r="K42" s="11" t="n">
        <x:v>0</x:v>
      </x:c>
      <x:c r="L42" s="11" t="n">
        <x:v>3</x:v>
      </x:c>
      <x:c r="M42" s="11" t="n">
        <x:v>97</x:v>
      </x:c>
    </x:row>
    <x:row r="43" ht="30" customHeight="1">
      <x:c r="A43" s="9" t="str">
        <x:v>FactConsolidation SH 6K</x:v>
      </x:c>
      <x:c r="B43" s="9" t="str">
        <x:v>D-C</x:v>
      </x:c>
      <x:c r="C43" s="11" t="n">
        <x:v>100</x:v>
      </x:c>
      <x:c r="D43" s="11" t="n">
        <x:v>1</x:v>
      </x:c>
      <x:c r="E43" s="9" t="str">
        <x:v>Substring EM</x:v>
      </x:c>
      <x:c r="F43" s="12" t="n">
        <x:v>84</x:v>
      </x:c>
      <x:c r="G43" s="12" t="n">
        <x:v>86</x:v>
      </x:c>
      <x:c r="H43" s="13" t="n">
        <x:f>G43-F43</x:f>
        <x:v>2</x:v>
      </x:c>
      <x:c r="I43" s="13"/>
      <x:c r="J43" s="13"/>
      <x:c r="K43" s="11" t="n">
        <x:v>3</x:v>
      </x:c>
      <x:c r="L43" s="11" t="n">
        <x:v>1</x:v>
      </x:c>
      <x:c r="M43" s="11" t="n">
        <x:v>96</x:v>
      </x:c>
    </x:row>
    <x:row r="44" ht="30" customHeight="1">
      <x:c r="A44" s="9" t="str">
        <x:v>FactConsolidation SH 6K</x:v>
      </x:c>
      <x:c r="B44" s="9" t="str">
        <x:v>C-A</x:v>
      </x:c>
      <x:c r="C44" s="11" t="n">
        <x:v>100</x:v>
      </x:c>
      <x:c r="D44" s="11" t="n">
        <x:v>1</x:v>
      </x:c>
      <x:c r="E44" s="9" t="str">
        <x:v>Substring EM</x:v>
      </x:c>
      <x:c r="F44" s="12" t="n">
        <x:v>100</x:v>
      </x:c>
      <x:c r="G44" s="12" t="n">
        <x:v>84</x:v>
      </x:c>
      <x:c r="H44" s="13" t="n">
        <x:f>G44-F44</x:f>
        <x:v>-16</x:v>
      </x:c>
      <x:c r="I44" s="13"/>
      <x:c r="J44" s="13"/>
      <x:c r="K44" s="11" t="n">
        <x:v>0</x:v>
      </x:c>
      <x:c r="L44" s="11" t="n">
        <x:v>16</x:v>
      </x:c>
      <x:c r="M44" s="11" t="n">
        <x:v>84</x:v>
      </x:c>
    </x:row>
    <x:row r="45" ht="30" customHeight="1">
      <x:c r="A45" s="9" t="str">
        <x:v>FactConsolidation SH 6K</x:v>
      </x:c>
      <x:c r="B45" s="9" t="str">
        <x:v>D-A</x:v>
      </x:c>
      <x:c r="C45" s="11" t="n">
        <x:v>100</x:v>
      </x:c>
      <x:c r="D45" s="11" t="n">
        <x:v>1</x:v>
      </x:c>
      <x:c r="E45" s="9" t="str">
        <x:v>Substring EM</x:v>
      </x:c>
      <x:c r="F45" s="12" t="n">
        <x:v>100</x:v>
      </x:c>
      <x:c r="G45" s="12" t="n">
        <x:v>86</x:v>
      </x:c>
      <x:c r="H45" s="13" t="n">
        <x:f>G45-F45</x:f>
        <x:v>-14</x:v>
      </x:c>
      <x:c r="I45" s="13"/>
      <x:c r="J45" s="13"/>
      <x:c r="K45" s="11" t="n">
        <x:v>0</x:v>
      </x:c>
      <x:c r="L45" s="11" t="n">
        <x:v>14</x:v>
      </x:c>
      <x:c r="M45" s="11" t="n">
        <x:v>86</x:v>
      </x:c>
    </x:row>
    <x:row r="46" ht="30" customHeight="1">
      <x:c r="A46" s="9" t="str">
        <x:v>FactConsolidation MH 6K</x:v>
      </x:c>
      <x:c r="B46" s="9" t="str">
        <x:v>B-A</x:v>
      </x:c>
      <x:c r="C46" s="11" t="n">
        <x:v>100</x:v>
      </x:c>
      <x:c r="D46" s="11" t="n">
        <x:v>1</x:v>
      </x:c>
      <x:c r="E46" s="9" t="str">
        <x:v>Substring EM</x:v>
      </x:c>
      <x:c r="F46" s="12" t="n">
        <x:v>60</x:v>
      </x:c>
      <x:c r="G46" s="12" t="n">
        <x:v>56.99999999999999</x:v>
      </x:c>
      <x:c r="H46" s="13" t="n">
        <x:f>G46-F46</x:f>
        <x:v>-3.000000000000007</x:v>
      </x:c>
      <x:c r="I46" s="13"/>
      <x:c r="J46" s="13"/>
      <x:c r="K46" s="11" t="n">
        <x:v>20</x:v>
      </x:c>
      <x:c r="L46" s="11" t="n">
        <x:v>23</x:v>
      </x:c>
      <x:c r="M46" s="11" t="n">
        <x:v>57</x:v>
      </x:c>
    </x:row>
    <x:row r="47" ht="30" customHeight="1">
      <x:c r="A47" s="9" t="str">
        <x:v>FactConsolidation MH 6K</x:v>
      </x:c>
      <x:c r="B47" s="9" t="str">
        <x:v>C-B</x:v>
      </x:c>
      <x:c r="C47" s="11" t="n">
        <x:v>100</x:v>
      </x:c>
      <x:c r="D47" s="11" t="n">
        <x:v>1</x:v>
      </x:c>
      <x:c r="E47" s="9" t="str">
        <x:v>Substring EM</x:v>
      </x:c>
      <x:c r="F47" s="12" t="n">
        <x:v>56.99999999999999</x:v>
      </x:c>
      <x:c r="G47" s="12" t="n">
        <x:v>55.00000000000001</x:v>
      </x:c>
      <x:c r="H47" s="13" t="n">
        <x:f>G47-F47</x:f>
        <x:v>-1.9999999999999858</x:v>
      </x:c>
      <x:c r="I47" s="13"/>
      <x:c r="J47" s="13"/>
      <x:c r="K47" s="11" t="n">
        <x:v>11</x:v>
      </x:c>
      <x:c r="L47" s="11" t="n">
        <x:v>13</x:v>
      </x:c>
      <x:c r="M47" s="11" t="n">
        <x:v>76</x:v>
      </x:c>
    </x:row>
    <x:row r="48" ht="30" customHeight="1">
      <x:c r="A48" s="9" t="str">
        <x:v>FactConsolidation MH 6K</x:v>
      </x:c>
      <x:c r="B48" s="9" t="str">
        <x:v>D-C</x:v>
      </x:c>
      <x:c r="C48" s="11" t="n">
        <x:v>100</x:v>
      </x:c>
      <x:c r="D48" s="11" t="n">
        <x:v>1</x:v>
      </x:c>
      <x:c r="E48" s="9" t="str">
        <x:v>Substring EM</x:v>
      </x:c>
      <x:c r="F48" s="12" t="n">
        <x:v>55.00000000000001</x:v>
      </x:c>
      <x:c r="G48" s="12" t="n">
        <x:v>59</x:v>
      </x:c>
      <x:c r="H48" s="13" t="n">
        <x:f>G48-F48</x:f>
        <x:v>3.999999999999993</x:v>
      </x:c>
      <x:c r="I48" s="13"/>
      <x:c r="J48" s="13"/>
      <x:c r="K48" s="11" t="n">
        <x:v>13</x:v>
      </x:c>
      <x:c r="L48" s="11" t="n">
        <x:v>9</x:v>
      </x:c>
      <x:c r="M48" s="11" t="n">
        <x:v>78</x:v>
      </x:c>
    </x:row>
    <x:row r="49" ht="30" customHeight="1">
      <x:c r="A49" s="9" t="str">
        <x:v>FactConsolidation MH 6K</x:v>
      </x:c>
      <x:c r="B49" s="9" t="str">
        <x:v>C-A</x:v>
      </x:c>
      <x:c r="C49" s="11" t="n">
        <x:v>100</x:v>
      </x:c>
      <x:c r="D49" s="11" t="n">
        <x:v>1</x:v>
      </x:c>
      <x:c r="E49" s="9" t="str">
        <x:v>Substring EM</x:v>
      </x:c>
      <x:c r="F49" s="12" t="n">
        <x:v>60</x:v>
      </x:c>
      <x:c r="G49" s="12" t="n">
        <x:v>55.00000000000001</x:v>
      </x:c>
      <x:c r="H49" s="13" t="n">
        <x:f>G49-F49</x:f>
        <x:v>-4.999999999999993</x:v>
      </x:c>
      <x:c r="I49" s="13"/>
      <x:c r="J49" s="13"/>
      <x:c r="K49" s="11" t="n">
        <x:v>20</x:v>
      </x:c>
      <x:c r="L49" s="11" t="n">
        <x:v>25</x:v>
      </x:c>
      <x:c r="M49" s="11" t="n">
        <x:v>55</x:v>
      </x:c>
    </x:row>
    <x:row r="50" ht="30" customHeight="1">
      <x:c r="A50" s="9" t="str">
        <x:v>FactConsolidation MH 6K</x:v>
      </x:c>
      <x:c r="B50" s="9" t="str">
        <x:v>D-A</x:v>
      </x:c>
      <x:c r="C50" s="11" t="n">
        <x:v>100</x:v>
      </x:c>
      <x:c r="D50" s="11" t="n">
        <x:v>1</x:v>
      </x:c>
      <x:c r="E50" s="9" t="str">
        <x:v>Substring EM</x:v>
      </x:c>
      <x:c r="F50" s="12" t="n">
        <x:v>60</x:v>
      </x:c>
      <x:c r="G50" s="12" t="n">
        <x:v>59</x:v>
      </x:c>
      <x:c r="H50" s="13" t="n">
        <x:f>G50-F50</x:f>
        <x:v>-1</x:v>
      </x:c>
      <x:c r="I50" s="13"/>
      <x:c r="J50" s="13"/>
      <x:c r="K50" s="11" t="n">
        <x:v>18</x:v>
      </x:c>
      <x:c r="L50" s="11" t="n">
        <x:v>19</x:v>
      </x:c>
      <x:c r="M50" s="11" t="n">
        <x:v>63</x:v>
      </x:c>
    </x:row>
    <x:row r="51" ht="30" customHeight="1">
      <x:c r="A51" s="9" t="str">
        <x:v>FactConsolidation SH 32K</x:v>
      </x:c>
      <x:c r="B51" s="9" t="str">
        <x:v>B-A</x:v>
      </x:c>
      <x:c r="C51" s="11" t="n">
        <x:v>100</x:v>
      </x:c>
      <x:c r="D51" s="11" t="n">
        <x:v>1</x:v>
      </x:c>
      <x:c r="E51" s="9" t="str">
        <x:v>Substring EM</x:v>
      </x:c>
      <x:c r="F51" s="12" t="n">
        <x:v>92</x:v>
      </x:c>
      <x:c r="G51" s="12" t="n">
        <x:v>92</x:v>
      </x:c>
      <x:c r="H51" s="13" t="n">
        <x:f>G51-F51</x:f>
        <x:v>0</x:v>
      </x:c>
      <x:c r="I51" s="13"/>
      <x:c r="J51" s="13"/>
      <x:c r="K51" s="11" t="n">
        <x:v>5</x:v>
      </x:c>
      <x:c r="L51" s="11" t="n">
        <x:v>5</x:v>
      </x:c>
      <x:c r="M51" s="11" t="n">
        <x:v>90</x:v>
      </x:c>
    </x:row>
    <x:row r="52" ht="30" customHeight="1">
      <x:c r="A52" s="9" t="str">
        <x:v>FactConsolidation SH 32K</x:v>
      </x:c>
      <x:c r="B52" s="9" t="str">
        <x:v>C-B</x:v>
      </x:c>
      <x:c r="C52" s="11" t="n">
        <x:v>100</x:v>
      </x:c>
      <x:c r="D52" s="11" t="n">
        <x:v>1</x:v>
      </x:c>
      <x:c r="E52" s="9" t="str">
        <x:v>Substring EM</x:v>
      </x:c>
      <x:c r="F52" s="12" t="n">
        <x:v>92</x:v>
      </x:c>
      <x:c r="G52" s="12" t="n">
        <x:v>79</x:v>
      </x:c>
      <x:c r="H52" s="13" t="n">
        <x:f>G52-F52</x:f>
        <x:v>-13</x:v>
      </x:c>
      <x:c r="I52" s="13"/>
      <x:c r="J52" s="13"/>
      <x:c r="K52" s="11" t="n">
        <x:v>2</x:v>
      </x:c>
      <x:c r="L52" s="11" t="n">
        <x:v>15</x:v>
      </x:c>
      <x:c r="M52" s="11" t="n">
        <x:v>83</x:v>
      </x:c>
    </x:row>
    <x:row r="53" ht="30" customHeight="1">
      <x:c r="A53" s="9" t="str">
        <x:v>FactConsolidation SH 32K</x:v>
      </x:c>
      <x:c r="B53" s="9" t="str">
        <x:v>D-C</x:v>
      </x:c>
      <x:c r="C53" s="11" t="n">
        <x:v>100</x:v>
      </x:c>
      <x:c r="D53" s="11" t="n">
        <x:v>1</x:v>
      </x:c>
      <x:c r="E53" s="9" t="str">
        <x:v>Substring EM</x:v>
      </x:c>
      <x:c r="F53" s="12" t="n">
        <x:v>79</x:v>
      </x:c>
      <x:c r="G53" s="12" t="n">
        <x:v>91</x:v>
      </x:c>
      <x:c r="H53" s="13" t="n">
        <x:f>G53-F53</x:f>
        <x:v>12</x:v>
      </x:c>
      <x:c r="I53" s="13"/>
      <x:c r="J53" s="13"/>
      <x:c r="K53" s="11" t="n">
        <x:v>14</x:v>
      </x:c>
      <x:c r="L53" s="11" t="n">
        <x:v>2</x:v>
      </x:c>
      <x:c r="M53" s="11" t="n">
        <x:v>84</x:v>
      </x:c>
    </x:row>
    <x:row r="54" ht="30" customHeight="1">
      <x:c r="A54" s="9" t="str">
        <x:v>FactConsolidation SH 32K</x:v>
      </x:c>
      <x:c r="B54" s="9" t="str">
        <x:v>C-A</x:v>
      </x:c>
      <x:c r="C54" s="11" t="n">
        <x:v>100</x:v>
      </x:c>
      <x:c r="D54" s="11" t="n">
        <x:v>1</x:v>
      </x:c>
      <x:c r="E54" s="9" t="str">
        <x:v>Substring EM</x:v>
      </x:c>
      <x:c r="F54" s="12" t="n">
        <x:v>92</x:v>
      </x:c>
      <x:c r="G54" s="12" t="n">
        <x:v>79</x:v>
      </x:c>
      <x:c r="H54" s="13" t="n">
        <x:f>G54-F54</x:f>
        <x:v>-13</x:v>
      </x:c>
      <x:c r="I54" s="13"/>
      <x:c r="J54" s="13"/>
      <x:c r="K54" s="11" t="n">
        <x:v>3</x:v>
      </x:c>
      <x:c r="L54" s="11" t="n">
        <x:v>16</x:v>
      </x:c>
      <x:c r="M54" s="11" t="n">
        <x:v>81</x:v>
      </x:c>
    </x:row>
    <x:row r="55" ht="30" customHeight="1">
      <x:c r="A55" s="9" t="str">
        <x:v>FactConsolidation SH 32K</x:v>
      </x:c>
      <x:c r="B55" s="9" t="str">
        <x:v>D-A</x:v>
      </x:c>
      <x:c r="C55" s="11" t="n">
        <x:v>100</x:v>
      </x:c>
      <x:c r="D55" s="11" t="n">
        <x:v>1</x:v>
      </x:c>
      <x:c r="E55" s="9" t="str">
        <x:v>Substring EM</x:v>
      </x:c>
      <x:c r="F55" s="12" t="n">
        <x:v>92</x:v>
      </x:c>
      <x:c r="G55" s="12" t="n">
        <x:v>91</x:v>
      </x:c>
      <x:c r="H55" s="13" t="n">
        <x:f>G55-F55</x:f>
        <x:v>-1</x:v>
      </x:c>
      <x:c r="I55" s="13"/>
      <x:c r="J55" s="13"/>
      <x:c r="K55" s="11" t="n">
        <x:v>4</x:v>
      </x:c>
      <x:c r="L55" s="11" t="n">
        <x:v>5</x:v>
      </x:c>
      <x:c r="M55" s="11" t="n">
        <x:v>91</x:v>
      </x:c>
    </x:row>
    <x:row r="56" ht="30" customHeight="1">
      <x:c r="A56" s="9" t="str">
        <x:v>FactConsolidation MH 32K</x:v>
      </x:c>
      <x:c r="B56" s="9" t="str">
        <x:v>B-A</x:v>
      </x:c>
      <x:c r="C56" s="11" t="n">
        <x:v>100</x:v>
      </x:c>
      <x:c r="D56" s="11" t="n">
        <x:v>1</x:v>
      </x:c>
      <x:c r="E56" s="9" t="str">
        <x:v>Substring EM</x:v>
      </x:c>
      <x:c r="F56" s="12" t="n">
        <x:v>17</x:v>
      </x:c>
      <x:c r="G56" s="12" t="n">
        <x:v>18</x:v>
      </x:c>
      <x:c r="H56" s="13" t="n">
        <x:f>G56-F56</x:f>
        <x:v>1</x:v>
      </x:c>
      <x:c r="I56" s="13"/>
      <x:c r="J56" s="13"/>
      <x:c r="K56" s="11" t="n">
        <x:v>8</x:v>
      </x:c>
      <x:c r="L56" s="11" t="n">
        <x:v>7</x:v>
      </x:c>
      <x:c r="M56" s="11" t="n">
        <x:v>85</x:v>
      </x:c>
    </x:row>
    <x:row r="57" ht="30" customHeight="1">
      <x:c r="A57" s="9" t="str">
        <x:v>FactConsolidation MH 32K</x:v>
      </x:c>
      <x:c r="B57" s="9" t="str">
        <x:v>C-B</x:v>
      </x:c>
      <x:c r="C57" s="11" t="n">
        <x:v>100</x:v>
      </x:c>
      <x:c r="D57" s="11" t="n">
        <x:v>1</x:v>
      </x:c>
      <x:c r="E57" s="9" t="str">
        <x:v>Substring EM</x:v>
      </x:c>
      <x:c r="F57" s="12" t="n">
        <x:v>18</x:v>
      </x:c>
      <x:c r="G57" s="12" t="n">
        <x:v>8</x:v>
      </x:c>
      <x:c r="H57" s="13" t="n">
        <x:f>G57-F57</x:f>
        <x:v>-10</x:v>
      </x:c>
      <x:c r="I57" s="13"/>
      <x:c r="J57" s="13"/>
      <x:c r="K57" s="11" t="n">
        <x:v>4</x:v>
      </x:c>
      <x:c r="L57" s="11" t="n">
        <x:v>14</x:v>
      </x:c>
      <x:c r="M57" s="11" t="n">
        <x:v>82</x:v>
      </x:c>
    </x:row>
    <x:row r="58" ht="30" customHeight="1">
      <x:c r="A58" s="9" t="str">
        <x:v>FactConsolidation MH 32K</x:v>
      </x:c>
      <x:c r="B58" s="9" t="str">
        <x:v>D-C</x:v>
      </x:c>
      <x:c r="C58" s="11" t="n">
        <x:v>100</x:v>
      </x:c>
      <x:c r="D58" s="11" t="n">
        <x:v>1</x:v>
      </x:c>
      <x:c r="E58" s="9" t="str">
        <x:v>Substring EM</x:v>
      </x:c>
      <x:c r="F58" s="12" t="n">
        <x:v>8</x:v>
      </x:c>
      <x:c r="G58" s="12" t="n">
        <x:v>25</x:v>
      </x:c>
      <x:c r="H58" s="13" t="n">
        <x:f>G58-F58</x:f>
        <x:v>17</x:v>
      </x:c>
      <x:c r="I58" s="13"/>
      <x:c r="J58" s="13"/>
      <x:c r="K58" s="11" t="n">
        <x:v>18</x:v>
      </x:c>
      <x:c r="L58" s="11" t="n">
        <x:v>1</x:v>
      </x:c>
      <x:c r="M58" s="11" t="n">
        <x:v>81</x:v>
      </x:c>
    </x:row>
    <x:row r="59" ht="30" customHeight="1">
      <x:c r="A59" s="9" t="str">
        <x:v>FactConsolidation MH 32K</x:v>
      </x:c>
      <x:c r="B59" s="9" t="str">
        <x:v>C-A</x:v>
      </x:c>
      <x:c r="C59" s="11" t="n">
        <x:v>100</x:v>
      </x:c>
      <x:c r="D59" s="11" t="n">
        <x:v>1</x:v>
      </x:c>
      <x:c r="E59" s="9" t="str">
        <x:v>Substring EM</x:v>
      </x:c>
      <x:c r="F59" s="12" t="n">
        <x:v>17</x:v>
      </x:c>
      <x:c r="G59" s="12" t="n">
        <x:v>8</x:v>
      </x:c>
      <x:c r="H59" s="13" t="n">
        <x:f>G59-F59</x:f>
        <x:v>-9</x:v>
      </x:c>
      <x:c r="I59" s="13"/>
      <x:c r="J59" s="13"/>
      <x:c r="K59" s="11" t="n">
        <x:v>3</x:v>
      </x:c>
      <x:c r="L59" s="11" t="n">
        <x:v>12</x:v>
      </x:c>
      <x:c r="M59" s="11" t="n">
        <x:v>85</x:v>
      </x:c>
    </x:row>
    <x:row r="60" ht="30" customHeight="1">
      <x:c r="A60" s="9" t="str">
        <x:v>FactConsolidation MH 32K</x:v>
      </x:c>
      <x:c r="B60" s="9" t="str">
        <x:v>D-A</x:v>
      </x:c>
      <x:c r="C60" s="11" t="n">
        <x:v>100</x:v>
      </x:c>
      <x:c r="D60" s="11" t="n">
        <x:v>1</x:v>
      </x:c>
      <x:c r="E60" s="9" t="str">
        <x:v>Substring EM</x:v>
      </x:c>
      <x:c r="F60" s="12" t="n">
        <x:v>17</x:v>
      </x:c>
      <x:c r="G60" s="12" t="n">
        <x:v>25</x:v>
      </x:c>
      <x:c r="H60" s="13" t="n">
        <x:f>G60-F60</x:f>
        <x:v>8</x:v>
      </x:c>
      <x:c r="I60" s="13"/>
      <x:c r="J60" s="13"/>
      <x:c r="K60" s="11" t="n">
        <x:v>17</x:v>
      </x:c>
      <x:c r="L60" s="11" t="n">
        <x:v>9</x:v>
      </x:c>
      <x:c r="M60" s="11" t="n">
        <x:v>74</x:v>
      </x:c>
    </x:row>
    <x:row r="61" ht="30" customHeight="1">
      <x:c r="A61" s="9" t="str">
        <x:v>FactConsolidation SH 64K</x:v>
      </x:c>
      <x:c r="B61" s="9" t="str">
        <x:v>B-A</x:v>
      </x:c>
      <x:c r="C61" s="11" t="n">
        <x:v>100</x:v>
      </x:c>
      <x:c r="D61" s="11" t="n">
        <x:v>1</x:v>
      </x:c>
      <x:c r="E61" s="9" t="str">
        <x:v>Substring EM</x:v>
      </x:c>
      <x:c r="F61" s="12" t="n">
        <x:v>86</x:v>
      </x:c>
      <x:c r="G61" s="12" t="n">
        <x:v>90</x:v>
      </x:c>
      <x:c r="H61" s="13" t="n">
        <x:f>G61-F61</x:f>
        <x:v>4</x:v>
      </x:c>
      <x:c r="I61" s="13"/>
      <x:c r="J61" s="13"/>
      <x:c r="K61" s="11" t="n">
        <x:v>7</x:v>
      </x:c>
      <x:c r="L61" s="11" t="n">
        <x:v>3</x:v>
      </x:c>
      <x:c r="M61" s="11" t="n">
        <x:v>90</x:v>
      </x:c>
    </x:row>
    <x:row r="62" ht="30" customHeight="1">
      <x:c r="A62" s="9" t="str">
        <x:v>FactConsolidation SH 64K</x:v>
      </x:c>
      <x:c r="B62" s="9" t="str">
        <x:v>C-B</x:v>
      </x:c>
      <x:c r="C62" s="11" t="n">
        <x:v>100</x:v>
      </x:c>
      <x:c r="D62" s="11" t="n">
        <x:v>1</x:v>
      </x:c>
      <x:c r="E62" s="9" t="str">
        <x:v>Substring EM</x:v>
      </x:c>
      <x:c r="F62" s="12" t="n">
        <x:v>90</x:v>
      </x:c>
      <x:c r="G62" s="12" t="n">
        <x:v>74</x:v>
      </x:c>
      <x:c r="H62" s="13" t="n">
        <x:f>G62-F62</x:f>
        <x:v>-16</x:v>
      </x:c>
      <x:c r="I62" s="13"/>
      <x:c r="J62" s="13"/>
      <x:c r="K62" s="11" t="n">
        <x:v>2</x:v>
      </x:c>
      <x:c r="L62" s="11" t="n">
        <x:v>18</x:v>
      </x:c>
      <x:c r="M62" s="11" t="n">
        <x:v>80</x:v>
      </x:c>
    </x:row>
    <x:row r="63" ht="30" customHeight="1">
      <x:c r="A63" s="9" t="str">
        <x:v>FactConsolidation SH 64K</x:v>
      </x:c>
      <x:c r="B63" s="9" t="str">
        <x:v>D-C</x:v>
      </x:c>
      <x:c r="C63" s="11" t="n">
        <x:v>100</x:v>
      </x:c>
      <x:c r="D63" s="11" t="n">
        <x:v>1</x:v>
      </x:c>
      <x:c r="E63" s="9" t="str">
        <x:v>Substring EM</x:v>
      </x:c>
      <x:c r="F63" s="12" t="n">
        <x:v>74</x:v>
      </x:c>
      <x:c r="G63" s="12" t="n">
        <x:v>90</x:v>
      </x:c>
      <x:c r="H63" s="13" t="n">
        <x:f>G63-F63</x:f>
        <x:v>16</x:v>
      </x:c>
      <x:c r="I63" s="13"/>
      <x:c r="J63" s="13"/>
      <x:c r="K63" s="11" t="n">
        <x:v>18</x:v>
      </x:c>
      <x:c r="L63" s="11" t="n">
        <x:v>2</x:v>
      </x:c>
      <x:c r="M63" s="11" t="n">
        <x:v>80</x:v>
      </x:c>
    </x:row>
    <x:row r="64" ht="30" customHeight="1">
      <x:c r="A64" s="9" t="str">
        <x:v>FactConsolidation SH 64K</x:v>
      </x:c>
      <x:c r="B64" s="9" t="str">
        <x:v>C-A</x:v>
      </x:c>
      <x:c r="C64" s="11" t="n">
        <x:v>100</x:v>
      </x:c>
      <x:c r="D64" s="11" t="n">
        <x:v>1</x:v>
      </x:c>
      <x:c r="E64" s="9" t="str">
        <x:v>Substring EM</x:v>
      </x:c>
      <x:c r="F64" s="12" t="n">
        <x:v>86</x:v>
      </x:c>
      <x:c r="G64" s="12" t="n">
        <x:v>74</x:v>
      </x:c>
      <x:c r="H64" s="13" t="n">
        <x:f>G64-F64</x:f>
        <x:v>-12</x:v>
      </x:c>
      <x:c r="I64" s="13"/>
      <x:c r="J64" s="13"/>
      <x:c r="K64" s="11" t="n">
        <x:v>5</x:v>
      </x:c>
      <x:c r="L64" s="11" t="n">
        <x:v>17</x:v>
      </x:c>
      <x:c r="M64" s="11" t="n">
        <x:v>78</x:v>
      </x:c>
    </x:row>
    <x:row r="65" ht="30" customHeight="1">
      <x:c r="A65" s="9" t="str">
        <x:v>FactConsolidation SH 64K</x:v>
      </x:c>
      <x:c r="B65" s="9" t="str">
        <x:v>D-A</x:v>
      </x:c>
      <x:c r="C65" s="11" t="n">
        <x:v>100</x:v>
      </x:c>
      <x:c r="D65" s="11" t="n">
        <x:v>1</x:v>
      </x:c>
      <x:c r="E65" s="9" t="str">
        <x:v>Substring EM</x:v>
      </x:c>
      <x:c r="F65" s="12" t="n">
        <x:v>86</x:v>
      </x:c>
      <x:c r="G65" s="12" t="n">
        <x:v>90</x:v>
      </x:c>
      <x:c r="H65" s="13" t="n">
        <x:f>G65-F65</x:f>
        <x:v>4</x:v>
      </x:c>
      <x:c r="I65" s="13"/>
      <x:c r="J65" s="13"/>
      <x:c r="K65" s="11" t="n">
        <x:v>8</x:v>
      </x:c>
      <x:c r="L65" s="11" t="n">
        <x:v>4</x:v>
      </x:c>
      <x:c r="M65" s="11" t="n">
        <x:v>88</x:v>
      </x:c>
    </x:row>
    <x:row r="66" ht="30" customHeight="1">
      <x:c r="A66" s="9" t="str">
        <x:v>FactConsolidation MH 64K</x:v>
      </x:c>
      <x:c r="B66" s="9" t="str">
        <x:v>B-A</x:v>
      </x:c>
      <x:c r="C66" s="11" t="n">
        <x:v>100</x:v>
      </x:c>
      <x:c r="D66" s="11" t="n">
        <x:v>1</x:v>
      </x:c>
      <x:c r="E66" s="9" t="str">
        <x:v>Substring EM</x:v>
      </x:c>
      <x:c r="F66" s="12" t="n">
        <x:v>15</x:v>
      </x:c>
      <x:c r="G66" s="12" t="n">
        <x:v>16</x:v>
      </x:c>
      <x:c r="H66" s="13" t="n">
        <x:f>G66-F66</x:f>
        <x:v>1</x:v>
      </x:c>
      <x:c r="I66" s="13"/>
      <x:c r="J66" s="13"/>
      <x:c r="K66" s="11" t="n">
        <x:v>6</x:v>
      </x:c>
      <x:c r="L66" s="11" t="n">
        <x:v>5</x:v>
      </x:c>
      <x:c r="M66" s="11" t="n">
        <x:v>89</x:v>
      </x:c>
    </x:row>
    <x:row r="67" ht="30" customHeight="1">
      <x:c r="A67" s="9" t="str">
        <x:v>FactConsolidation MH 64K</x:v>
      </x:c>
      <x:c r="B67" s="9" t="str">
        <x:v>C-B</x:v>
      </x:c>
      <x:c r="C67" s="11" t="n">
        <x:v>100</x:v>
      </x:c>
      <x:c r="D67" s="11" t="n">
        <x:v>1</x:v>
      </x:c>
      <x:c r="E67" s="9" t="str">
        <x:v>Substring EM</x:v>
      </x:c>
      <x:c r="F67" s="12" t="n">
        <x:v>16</x:v>
      </x:c>
      <x:c r="G67" s="12" t="n">
        <x:v>15</x:v>
      </x:c>
      <x:c r="H67" s="13" t="n">
        <x:f>G67-F67</x:f>
        <x:v>-1</x:v>
      </x:c>
      <x:c r="I67" s="13"/>
      <x:c r="J67" s="13"/>
      <x:c r="K67" s="11" t="n">
        <x:v>8</x:v>
      </x:c>
      <x:c r="L67" s="11" t="n">
        <x:v>9</x:v>
      </x:c>
      <x:c r="M67" s="11" t="n">
        <x:v>83</x:v>
      </x:c>
    </x:row>
    <x:row r="68" ht="30" customHeight="1">
      <x:c r="A68" s="9" t="str">
        <x:v>FactConsolidation MH 64K</x:v>
      </x:c>
      <x:c r="B68" s="9" t="str">
        <x:v>D-C</x:v>
      </x:c>
      <x:c r="C68" s="11" t="n">
        <x:v>100</x:v>
      </x:c>
      <x:c r="D68" s="11" t="n">
        <x:v>1</x:v>
      </x:c>
      <x:c r="E68" s="9" t="str">
        <x:v>Substring EM</x:v>
      </x:c>
      <x:c r="F68" s="12" t="n">
        <x:v>15</x:v>
      </x:c>
      <x:c r="G68" s="12" t="n">
        <x:v>16</x:v>
      </x:c>
      <x:c r="H68" s="13" t="n">
        <x:f>G68-F68</x:f>
        <x:v>1</x:v>
      </x:c>
      <x:c r="I68" s="13"/>
      <x:c r="J68" s="13"/>
      <x:c r="K68" s="11" t="n">
        <x:v>9</x:v>
      </x:c>
      <x:c r="L68" s="11" t="n">
        <x:v>8</x:v>
      </x:c>
      <x:c r="M68" s="11" t="n">
        <x:v>83</x:v>
      </x:c>
    </x:row>
    <x:row r="69" ht="30" customHeight="1">
      <x:c r="A69" s="9" t="str">
        <x:v>FactConsolidation MH 64K</x:v>
      </x:c>
      <x:c r="B69" s="9" t="str">
        <x:v>C-A</x:v>
      </x:c>
      <x:c r="C69" s="11" t="n">
        <x:v>100</x:v>
      </x:c>
      <x:c r="D69" s="11" t="n">
        <x:v>1</x:v>
      </x:c>
      <x:c r="E69" s="9" t="str">
        <x:v>Substring EM</x:v>
      </x:c>
      <x:c r="F69" s="12" t="n">
        <x:v>15</x:v>
      </x:c>
      <x:c r="G69" s="12" t="n">
        <x:v>15</x:v>
      </x:c>
      <x:c r="H69" s="13" t="n">
        <x:f>G69-F69</x:f>
        <x:v>0</x:v>
      </x:c>
      <x:c r="I69" s="13"/>
      <x:c r="J69" s="13"/>
      <x:c r="K69" s="11" t="n">
        <x:v>8</x:v>
      </x:c>
      <x:c r="L69" s="11" t="n">
        <x:v>8</x:v>
      </x:c>
      <x:c r="M69" s="11" t="n">
        <x:v>84</x:v>
      </x:c>
    </x:row>
    <x:row r="70" ht="30" customHeight="1">
      <x:c r="A70" s="9" t="str">
        <x:v>FactConsolidation MH 64K</x:v>
      </x:c>
      <x:c r="B70" s="9" t="str">
        <x:v>D-A</x:v>
      </x:c>
      <x:c r="C70" s="11" t="n">
        <x:v>100</x:v>
      </x:c>
      <x:c r="D70" s="11" t="n">
        <x:v>1</x:v>
      </x:c>
      <x:c r="E70" s="9" t="str">
        <x:v>Substring EM</x:v>
      </x:c>
      <x:c r="F70" s="12" t="n">
        <x:v>15</x:v>
      </x:c>
      <x:c r="G70" s="12" t="n">
        <x:v>16</x:v>
      </x:c>
      <x:c r="H70" s="13" t="n">
        <x:f>G70-F70</x:f>
        <x:v>1</x:v>
      </x:c>
      <x:c r="I70" s="13"/>
      <x:c r="J70" s="13"/>
      <x:c r="K70" s="11" t="n">
        <x:v>9</x:v>
      </x:c>
      <x:c r="L70" s="11" t="n">
        <x:v>8</x:v>
      </x:c>
      <x:c r="M70" s="11" t="n">
        <x:v>83</x:v>
      </x:c>
    </x:row>
    <x:row r="71" ht="30" customHeight="1">
      <x:c r="A71" s="9" t="str">
        <x:v>FactConsolidation SH 262K</x:v>
      </x:c>
      <x:c r="B71" s="9" t="str">
        <x:v>B-A</x:v>
      </x:c>
      <x:c r="C71" s="11" t="n">
        <x:v>100</x:v>
      </x:c>
      <x:c r="D71" s="11" t="n">
        <x:v>1</x:v>
      </x:c>
      <x:c r="E71" s="9" t="str">
        <x:v>Substring EM</x:v>
      </x:c>
      <x:c r="F71" s="12" t="n">
        <x:v>74</x:v>
      </x:c>
      <x:c r="G71" s="12" t="n">
        <x:v>79</x:v>
      </x:c>
      <x:c r="H71" s="13" t="n">
        <x:f>G71-F71</x:f>
        <x:v>5</x:v>
      </x:c>
      <x:c r="I71" s="13"/>
      <x:c r="J71" s="13"/>
      <x:c r="K71" s="11" t="n">
        <x:v>10</x:v>
      </x:c>
      <x:c r="L71" s="11" t="n">
        <x:v>5</x:v>
      </x:c>
      <x:c r="M71" s="11" t="n">
        <x:v>85</x:v>
      </x:c>
    </x:row>
    <x:row r="72" ht="30" customHeight="1">
      <x:c r="A72" s="9" t="str">
        <x:v>FactConsolidation SH 262K</x:v>
      </x:c>
      <x:c r="B72" s="9" t="str">
        <x:v>C-B</x:v>
      </x:c>
      <x:c r="C72" s="11" t="n">
        <x:v>100</x:v>
      </x:c>
      <x:c r="D72" s="11" t="n">
        <x:v>1</x:v>
      </x:c>
      <x:c r="E72" s="9" t="str">
        <x:v>Substring EM</x:v>
      </x:c>
      <x:c r="F72" s="12" t="n">
        <x:v>79</x:v>
      </x:c>
      <x:c r="G72" s="12" t="n">
        <x:v>60</x:v>
      </x:c>
      <x:c r="H72" s="13" t="n">
        <x:f>G72-F72</x:f>
        <x:v>-19</x:v>
      </x:c>
      <x:c r="I72" s="13"/>
      <x:c r="J72" s="13"/>
      <x:c r="K72" s="11" t="n">
        <x:v>6</x:v>
      </x:c>
      <x:c r="L72" s="11" t="n">
        <x:v>25</x:v>
      </x:c>
      <x:c r="M72" s="11" t="n">
        <x:v>69</x:v>
      </x:c>
    </x:row>
    <x:row r="73" ht="30" customHeight="1">
      <x:c r="A73" s="9" t="str">
        <x:v>FactConsolidation SH 262K</x:v>
      </x:c>
      <x:c r="B73" s="9" t="str">
        <x:v>D-C</x:v>
      </x:c>
      <x:c r="C73" s="11" t="n">
        <x:v>100</x:v>
      </x:c>
      <x:c r="D73" s="11" t="n">
        <x:v>1</x:v>
      </x:c>
      <x:c r="E73" s="9" t="str">
        <x:v>Substring EM</x:v>
      </x:c>
      <x:c r="F73" s="12" t="n">
        <x:v>60</x:v>
      </x:c>
      <x:c r="G73" s="12" t="n">
        <x:v>69</x:v>
      </x:c>
      <x:c r="H73" s="13" t="n">
        <x:f>G73-F73</x:f>
        <x:v>9</x:v>
      </x:c>
      <x:c r="I73" s="13"/>
      <x:c r="J73" s="13"/>
      <x:c r="K73" s="11" t="n">
        <x:v>13</x:v>
      </x:c>
      <x:c r="L73" s="11" t="n">
        <x:v>4</x:v>
      </x:c>
      <x:c r="M73" s="11" t="n">
        <x:v>83</x:v>
      </x:c>
    </x:row>
    <x:row r="74" ht="30" customHeight="1">
      <x:c r="A74" s="9" t="str">
        <x:v>FactConsolidation SH 262K</x:v>
      </x:c>
      <x:c r="B74" s="9" t="str">
        <x:v>C-A</x:v>
      </x:c>
      <x:c r="C74" s="11" t="n">
        <x:v>100</x:v>
      </x:c>
      <x:c r="D74" s="11" t="n">
        <x:v>1</x:v>
      </x:c>
      <x:c r="E74" s="9" t="str">
        <x:v>Substring EM</x:v>
      </x:c>
      <x:c r="F74" s="12" t="n">
        <x:v>74</x:v>
      </x:c>
      <x:c r="G74" s="12" t="n">
        <x:v>60</x:v>
      </x:c>
      <x:c r="H74" s="13" t="n">
        <x:f>G74-F74</x:f>
        <x:v>-14</x:v>
      </x:c>
      <x:c r="I74" s="13"/>
      <x:c r="J74" s="13"/>
      <x:c r="K74" s="11" t="n">
        <x:v>5</x:v>
      </x:c>
      <x:c r="L74" s="11" t="n">
        <x:v>19</x:v>
      </x:c>
      <x:c r="M74" s="11" t="n">
        <x:v>76</x:v>
      </x:c>
    </x:row>
    <x:row r="75" ht="30" customHeight="1">
      <x:c r="A75" s="9" t="str">
        <x:v>FactConsolidation SH 262K</x:v>
      </x:c>
      <x:c r="B75" s="9" t="str">
        <x:v>D-A</x:v>
      </x:c>
      <x:c r="C75" s="11" t="n">
        <x:v>100</x:v>
      </x:c>
      <x:c r="D75" s="11" t="n">
        <x:v>1</x:v>
      </x:c>
      <x:c r="E75" s="9" t="str">
        <x:v>Substring EM</x:v>
      </x:c>
      <x:c r="F75" s="12" t="n">
        <x:v>74</x:v>
      </x:c>
      <x:c r="G75" s="12" t="n">
        <x:v>69</x:v>
      </x:c>
      <x:c r="H75" s="13" t="n">
        <x:f>G75-F75</x:f>
        <x:v>-5</x:v>
      </x:c>
      <x:c r="I75" s="13"/>
      <x:c r="J75" s="13"/>
      <x:c r="K75" s="11" t="n">
        <x:v>10</x:v>
      </x:c>
      <x:c r="L75" s="11" t="n">
        <x:v>15</x:v>
      </x:c>
      <x:c r="M75" s="11" t="n">
        <x:v>75</x:v>
      </x:c>
    </x:row>
    <x:row r="76" ht="30" customHeight="1">
      <x:c r="A76" s="9" t="str">
        <x:v>FactConsolidation MH 262K</x:v>
      </x:c>
      <x:c r="B76" s="9" t="str">
        <x:v>B-A</x:v>
      </x:c>
      <x:c r="C76" s="11" t="n">
        <x:v>100</x:v>
      </x:c>
      <x:c r="D76" s="11" t="n">
        <x:v>1</x:v>
      </x:c>
      <x:c r="E76" s="9" t="str">
        <x:v>Substring EM</x:v>
      </x:c>
      <x:c r="F76" s="12" t="n">
        <x:v>9</x:v>
      </x:c>
      <x:c r="G76" s="12" t="n">
        <x:v>8</x:v>
      </x:c>
      <x:c r="H76" s="13" t="n">
        <x:f>G76-F76</x:f>
        <x:v>-1</x:v>
      </x:c>
      <x:c r="I76" s="13"/>
      <x:c r="J76" s="13"/>
      <x:c r="K76" s="11" t="n">
        <x:v>2</x:v>
      </x:c>
      <x:c r="L76" s="11" t="n">
        <x:v>3</x:v>
      </x:c>
      <x:c r="M76" s="11" t="n">
        <x:v>95</x:v>
      </x:c>
    </x:row>
    <x:row r="77" ht="30" customHeight="1">
      <x:c r="A77" s="9" t="str">
        <x:v>FactConsolidation MH 262K</x:v>
      </x:c>
      <x:c r="B77" s="9" t="str">
        <x:v>C-B</x:v>
      </x:c>
      <x:c r="C77" s="11" t="n">
        <x:v>100</x:v>
      </x:c>
      <x:c r="D77" s="11" t="n">
        <x:v>1</x:v>
      </x:c>
      <x:c r="E77" s="9" t="str">
        <x:v>Substring EM</x:v>
      </x:c>
      <x:c r="F77" s="12" t="n">
        <x:v>8</x:v>
      </x:c>
      <x:c r="G77" s="12" t="n">
        <x:v>8</x:v>
      </x:c>
      <x:c r="H77" s="13" t="n">
        <x:f>G77-F77</x:f>
        <x:v>0</x:v>
      </x:c>
      <x:c r="I77" s="13"/>
      <x:c r="J77" s="13"/>
      <x:c r="K77" s="11" t="n">
        <x:v>3</x:v>
      </x:c>
      <x:c r="L77" s="11" t="n">
        <x:v>3</x:v>
      </x:c>
      <x:c r="M77" s="11" t="n">
        <x:v>94</x:v>
      </x:c>
    </x:row>
    <x:row r="78" ht="30" customHeight="1">
      <x:c r="A78" s="9" t="str">
        <x:v>FactConsolidation MH 262K</x:v>
      </x:c>
      <x:c r="B78" s="9" t="str">
        <x:v>D-C</x:v>
      </x:c>
      <x:c r="C78" s="11" t="n">
        <x:v>100</x:v>
      </x:c>
      <x:c r="D78" s="11" t="n">
        <x:v>1</x:v>
      </x:c>
      <x:c r="E78" s="9" t="str">
        <x:v>Substring EM</x:v>
      </x:c>
      <x:c r="F78" s="12" t="n">
        <x:v>8</x:v>
      </x:c>
      <x:c r="G78" s="12" t="n">
        <x:v>8</x:v>
      </x:c>
      <x:c r="H78" s="13" t="n">
        <x:f>G78-F78</x:f>
        <x:v>0</x:v>
      </x:c>
      <x:c r="I78" s="13"/>
      <x:c r="J78" s="13"/>
      <x:c r="K78" s="11" t="n">
        <x:v>3</x:v>
      </x:c>
      <x:c r="L78" s="11" t="n">
        <x:v>3</x:v>
      </x:c>
      <x:c r="M78" s="11" t="n">
        <x:v>94</x:v>
      </x:c>
    </x:row>
    <x:row r="79" ht="30" customHeight="1">
      <x:c r="A79" s="9" t="str">
        <x:v>FactConsolidation MH 262K</x:v>
      </x:c>
      <x:c r="B79" s="9" t="str">
        <x:v>C-A</x:v>
      </x:c>
      <x:c r="C79" s="11" t="n">
        <x:v>100</x:v>
      </x:c>
      <x:c r="D79" s="11" t="n">
        <x:v>1</x:v>
      </x:c>
      <x:c r="E79" s="9" t="str">
        <x:v>Substring EM</x:v>
      </x:c>
      <x:c r="F79" s="12" t="n">
        <x:v>9</x:v>
      </x:c>
      <x:c r="G79" s="12" t="n">
        <x:v>8</x:v>
      </x:c>
      <x:c r="H79" s="13" t="n">
        <x:f>G79-F79</x:f>
        <x:v>-1</x:v>
      </x:c>
      <x:c r="I79" s="13"/>
      <x:c r="J79" s="13"/>
      <x:c r="K79" s="11" t="n">
        <x:v>2</x:v>
      </x:c>
      <x:c r="L79" s="11" t="n">
        <x:v>3</x:v>
      </x:c>
      <x:c r="M79" s="11" t="n">
        <x:v>95</x:v>
      </x:c>
    </x:row>
    <x:row r="80" ht="30" customHeight="1">
      <x:c r="A80" s="9" t="str">
        <x:v>FactConsolidation MH 262K</x:v>
      </x:c>
      <x:c r="B80" s="9" t="str">
        <x:v>D-A</x:v>
      </x:c>
      <x:c r="C80" s="11" t="n">
        <x:v>100</x:v>
      </x:c>
      <x:c r="D80" s="11" t="n">
        <x:v>1</x:v>
      </x:c>
      <x:c r="E80" s="9" t="str">
        <x:v>Substring EM</x:v>
      </x:c>
      <x:c r="F80" s="12" t="n">
        <x:v>9</x:v>
      </x:c>
      <x:c r="G80" s="12" t="n">
        <x:v>8</x:v>
      </x:c>
      <x:c r="H80" s="13" t="n">
        <x:f>G80-F80</x:f>
        <x:v>-1</x:v>
      </x:c>
      <x:c r="I80" s="13"/>
      <x:c r="J80" s="13"/>
      <x:c r="K80" s="11" t="n">
        <x:v>3</x:v>
      </x:c>
      <x:c r="L80" s="11" t="n">
        <x:v>4</x:v>
      </x:c>
      <x:c r="M80" s="11" t="n">
        <x:v>93</x:v>
      </x:c>
    </x:row>
    <x:row r="81" ht="30" customHeight="1">
      <x:c r="A81" s="9" t="str">
        <x:v>PersonaMem v2 32K</x:v>
      </x:c>
      <x:c r="B81" s="9" t="str">
        <x:v>B-A</x:v>
      </x:c>
      <x:c r="C81" s="11" t="n">
        <x:v>100</x:v>
      </x:c>
      <x:c r="D81" s="11" t="n">
        <x:v>77</x:v>
      </x:c>
      <x:c r="E81" s="9" t="str">
        <x:v>MCQ accuracy</x:v>
      </x:c>
      <x:c r="F81" s="12" t="n">
        <x:v>45</x:v>
      </x:c>
      <x:c r="G81" s="12" t="n">
        <x:v>50</x:v>
      </x:c>
      <x:c r="H81" s="13" t="n">
        <x:f>G81-F81</x:f>
        <x:v>5</x:v>
      </x:c>
      <x:c r="I81" s="13" t="n">
        <x:v>1.0204081632653061</x:v>
      </x:c>
      <x:c r="J81" s="13" t="n">
        <x:v>9.377467105263145</x:v>
      </x:c>
      <x:c r="K81" s="11" t="n">
        <x:v>5</x:v>
      </x:c>
      <x:c r="L81" s="11" t="n">
        <x:v>0</x:v>
      </x:c>
      <x:c r="M81" s="11" t="n">
        <x:v>95</x:v>
      </x:c>
    </x:row>
    <x:row r="82" ht="30" customHeight="1">
      <x:c r="A82" s="9" t="str">
        <x:v>PersonaMem v2 32K</x:v>
      </x:c>
      <x:c r="B82" s="9" t="str">
        <x:v>C-B</x:v>
      </x:c>
      <x:c r="C82" s="11" t="n">
        <x:v>100</x:v>
      </x:c>
      <x:c r="D82" s="11" t="n">
        <x:v>77</x:v>
      </x:c>
      <x:c r="E82" s="9" t="str">
        <x:v>MCQ accuracy</x:v>
      </x:c>
      <x:c r="F82" s="12" t="n">
        <x:v>50</x:v>
      </x:c>
      <x:c r="G82" s="12" t="n">
        <x:v>50</x:v>
      </x:c>
      <x:c r="H82" s="13" t="n">
        <x:f>G82-F82</x:f>
        <x:v>0</x:v>
      </x:c>
      <x:c r="I82" s="13" t="n">
        <x:v>0</x:v>
      </x:c>
      <x:c r="J82" s="13" t="n">
        <x:v>0</x:v>
      </x:c>
      <x:c r="K82" s="11" t="n">
        <x:v>0</x:v>
      </x:c>
      <x:c r="L82" s="11" t="n">
        <x:v>0</x:v>
      </x:c>
      <x:c r="M82" s="11" t="n">
        <x:v>100</x:v>
      </x:c>
    </x:row>
    <x:row r="83" ht="30" customHeight="1">
      <x:c r="A83" s="9" t="str">
        <x:v>PersonaMem v2 32K</x:v>
      </x:c>
      <x:c r="B83" s="9" t="str">
        <x:v>D-C</x:v>
      </x:c>
      <x:c r="C83" s="11" t="n">
        <x:v>100</x:v>
      </x:c>
      <x:c r="D83" s="11" t="n">
        <x:v>77</x:v>
      </x:c>
      <x:c r="E83" s="9" t="str">
        <x:v>MCQ accuracy</x:v>
      </x:c>
      <x:c r="F83" s="12" t="n">
        <x:v>50</x:v>
      </x:c>
      <x:c r="G83" s="12" t="n">
        <x:v>44</x:v>
      </x:c>
      <x:c r="H83" s="13" t="n">
        <x:f>G83-F83</x:f>
        <x:v>-6</x:v>
      </x:c>
      <x:c r="I83" s="13" t="n">
        <x:v>-14.545895851721093</x:v>
      </x:c>
      <x:c r="J83" s="13" t="n">
        <x:v>2.0408163265306123</x:v>
      </x:c>
      <x:c r="K83" s="11" t="n">
        <x:v>4</x:v>
      </x:c>
      <x:c r="L83" s="11" t="n">
        <x:v>10</x:v>
      </x:c>
      <x:c r="M83" s="11" t="n">
        <x:v>86</x:v>
      </x:c>
    </x:row>
    <x:row r="84" ht="30" customHeight="1">
      <x:c r="A84" s="9" t="str">
        <x:v>PersonaMem v2 32K</x:v>
      </x:c>
      <x:c r="B84" s="9" t="str">
        <x:v>C-A</x:v>
      </x:c>
      <x:c r="C84" s="11" t="n">
        <x:v>100</x:v>
      </x:c>
      <x:c r="D84" s="11" t="n">
        <x:v>77</x:v>
      </x:c>
      <x:c r="E84" s="9" t="str">
        <x:v>MCQ accuracy</x:v>
      </x:c>
      <x:c r="F84" s="12" t="n">
        <x:v>45</x:v>
      </x:c>
      <x:c r="G84" s="12" t="n">
        <x:v>50</x:v>
      </x:c>
      <x:c r="H84" s="13" t="n">
        <x:f>G84-F84</x:f>
        <x:v>5</x:v>
      </x:c>
      <x:c r="I84" s="13" t="n">
        <x:v>1.0204081632653061</x:v>
      </x:c>
      <x:c r="J84" s="13" t="n">
        <x:v>9.377467105263145</x:v>
      </x:c>
      <x:c r="K84" s="11" t="n">
        <x:v>5</x:v>
      </x:c>
      <x:c r="L84" s="11" t="n">
        <x:v>0</x:v>
      </x:c>
      <x:c r="M84" s="11" t="n">
        <x:v>95</x:v>
      </x:c>
    </x:row>
    <x:row r="85" ht="30" customHeight="1">
      <x:c r="A85" s="9" t="str">
        <x:v>PersonaMem v2 32K</x:v>
      </x:c>
      <x:c r="B85" s="9" t="str">
        <x:v>D-A</x:v>
      </x:c>
      <x:c r="C85" s="11" t="n">
        <x:v>100</x:v>
      </x:c>
      <x:c r="D85" s="11" t="n">
        <x:v>77</x:v>
      </x:c>
      <x:c r="E85" s="9" t="str">
        <x:v>MCQ accuracy</x:v>
      </x:c>
      <x:c r="F85" s="12" t="n">
        <x:v>45</x:v>
      </x:c>
      <x:c r="G85" s="12" t="n">
        <x:v>44</x:v>
      </x:c>
      <x:c r="H85" s="13" t="n">
        <x:f>G85-F85</x:f>
        <x:v>-1</x:v>
      </x:c>
      <x:c r="I85" s="13" t="n">
        <x:v>-10.526315789473683</x:v>
      </x:c>
      <x:c r="J85" s="13" t="n">
        <x:v>7.548707957342075</x:v>
      </x:c>
      <x:c r="K85" s="11" t="n">
        <x:v>8</x:v>
      </x:c>
      <x:c r="L85" s="11" t="n">
        <x:v>9</x:v>
      </x:c>
      <x:c r="M85" s="11" t="n">
        <x:v>83</x:v>
      </x:c>
    </x:row>
    <x:row r="86" ht="30" customHeight="1">
      <x:c r="A86" s="9" t="str">
        <x:v>PersonaMem v2 128K</x:v>
      </x:c>
      <x:c r="B86" s="9" t="str">
        <x:v>B-A</x:v>
      </x:c>
      <x:c r="C86" s="11" t="n">
        <x:v>100</x:v>
      </x:c>
      <x:c r="D86" s="11" t="n">
        <x:v>78</x:v>
      </x:c>
      <x:c r="E86" s="9" t="str">
        <x:v>MCQ accuracy</x:v>
      </x:c>
      <x:c r="F86" s="12" t="n">
        <x:v>41</x:v>
      </x:c>
      <x:c r="G86" s="12" t="n">
        <x:v>40</x:v>
      </x:c>
      <x:c r="H86" s="13" t="n">
        <x:f>G86-F86</x:f>
        <x:v>-1</x:v>
      </x:c>
      <x:c r="I86" s="13" t="n">
        <x:v>-5.716777408637873</x:v>
      </x:c>
      <x:c r="J86" s="13" t="n">
        <x:v>3.1578947368421053</x:v>
      </x:c>
      <x:c r="K86" s="11" t="n">
        <x:v>2</x:v>
      </x:c>
      <x:c r="L86" s="11" t="n">
        <x:v>3</x:v>
      </x:c>
      <x:c r="M86" s="11" t="n">
        <x:v>95</x:v>
      </x:c>
    </x:row>
    <x:row r="87" ht="30" customHeight="1">
      <x:c r="A87" s="9" t="str">
        <x:v>PersonaMem v2 128K</x:v>
      </x:c>
      <x:c r="B87" s="9" t="str">
        <x:v>C-B</x:v>
      </x:c>
      <x:c r="C87" s="11" t="n">
        <x:v>100</x:v>
      </x:c>
      <x:c r="D87" s="11" t="n">
        <x:v>78</x:v>
      </x:c>
      <x:c r="E87" s="9" t="str">
        <x:v>MCQ accuracy</x:v>
      </x:c>
      <x:c r="F87" s="12" t="n">
        <x:v>40</x:v>
      </x:c>
      <x:c r="G87" s="12" t="n">
        <x:v>39</x:v>
      </x:c>
      <x:c r="H87" s="13" t="n">
        <x:f>G87-F87</x:f>
        <x:v>-1</x:v>
      </x:c>
      <x:c r="I87" s="13" t="n">
        <x:v>-3.260869565217391</x:v>
      </x:c>
      <x:c r="J87" s="13" t="n">
        <x:v>0</x:v>
      </x:c>
      <x:c r="K87" s="11" t="n">
        <x:v>0</x:v>
      </x:c>
      <x:c r="L87" s="11" t="n">
        <x:v>1</x:v>
      </x:c>
      <x:c r="M87" s="11" t="n">
        <x:v>99</x:v>
      </x:c>
    </x:row>
    <x:row r="88" ht="30" customHeight="1">
      <x:c r="A88" s="9" t="str">
        <x:v>PersonaMem v2 128K</x:v>
      </x:c>
      <x:c r="B88" s="9" t="str">
        <x:v>D-C</x:v>
      </x:c>
      <x:c r="C88" s="11" t="n">
        <x:v>100</x:v>
      </x:c>
      <x:c r="D88" s="11" t="n">
        <x:v>78</x:v>
      </x:c>
      <x:c r="E88" s="9" t="str">
        <x:v>MCQ accuracy</x:v>
      </x:c>
      <x:c r="F88" s="12" t="n">
        <x:v>39</x:v>
      </x:c>
      <x:c r="G88" s="12" t="n">
        <x:v>42</x:v>
      </x:c>
      <x:c r="H88" s="13" t="n">
        <x:f>G88-F88</x:f>
        <x:v>3</x:v>
      </x:c>
      <x:c r="I88" s="13" t="n">
        <x:v>-4.672897196261682</x:v>
      </x:c>
      <x:c r="J88" s="13" t="n">
        <x:v>11.224489795918368</x:v>
      </x:c>
      <x:c r="K88" s="11" t="n">
        <x:v>8</x:v>
      </x:c>
      <x:c r="L88" s="11" t="n">
        <x:v>5</x:v>
      </x:c>
      <x:c r="M88" s="11" t="n">
        <x:v>87</x:v>
      </x:c>
    </x:row>
    <x:row r="89" ht="30" customHeight="1">
      <x:c r="A89" s="9" t="str">
        <x:v>PersonaMem v2 128K</x:v>
      </x:c>
      <x:c r="B89" s="9" t="str">
        <x:v>C-A</x:v>
      </x:c>
      <x:c r="C89" s="11" t="n">
        <x:v>100</x:v>
      </x:c>
      <x:c r="D89" s="11" t="n">
        <x:v>78</x:v>
      </x:c>
      <x:c r="E89" s="9" t="str">
        <x:v>MCQ accuracy</x:v>
      </x:c>
      <x:c r="F89" s="12" t="n">
        <x:v>41</x:v>
      </x:c>
      <x:c r="G89" s="12" t="n">
        <x:v>39</x:v>
      </x:c>
      <x:c r="H89" s="13" t="n">
        <x:f>G89-F89</x:f>
        <x:v>-2</x:v>
      </x:c>
      <x:c r="I89" s="13" t="n">
        <x:v>-7.0725108225108215</x:v>
      </x:c>
      <x:c r="J89" s="13" t="n">
        <x:v>2.1052631578947367</x:v>
      </x:c>
      <x:c r="K89" s="11" t="n">
        <x:v>2</x:v>
      </x:c>
      <x:c r="L89" s="11" t="n">
        <x:v>4</x:v>
      </x:c>
      <x:c r="M89" s="11" t="n">
        <x:v>94</x:v>
      </x:c>
    </x:row>
    <x:row r="90" ht="30" customHeight="1">
      <x:c r="A90" s="9" t="str">
        <x:v>PersonaMem v2 128K</x:v>
      </x:c>
      <x:c r="B90" s="9" t="str">
        <x:v>D-A</x:v>
      </x:c>
      <x:c r="C90" s="11" t="n">
        <x:v>100</x:v>
      </x:c>
      <x:c r="D90" s="11" t="n">
        <x:v>78</x:v>
      </x:c>
      <x:c r="E90" s="9" t="str">
        <x:v>MCQ accuracy</x:v>
      </x:c>
      <x:c r="F90" s="12" t="n">
        <x:v>41</x:v>
      </x:c>
      <x:c r="G90" s="12" t="n">
        <x:v>42</x:v>
      </x:c>
      <x:c r="H90" s="13" t="n">
        <x:f>G90-F90</x:f>
        <x:v>1</x:v>
      </x:c>
      <x:c r="I90" s="13" t="n">
        <x:v>-5.15735214324471</x:v>
      </x:c>
      <x:c r="J90" s="13" t="n">
        <x:v>8.165369240479684</x:v>
      </x:c>
      <x:c r="K90" s="11" t="n">
        <x:v>6</x:v>
      </x:c>
      <x:c r="L90" s="11" t="n">
        <x:v>5</x:v>
      </x:c>
      <x:c r="M90" s="11" t="n">
        <x:v>89</x:v>
      </x:c>
    </x:row>
    <x:row r="91" ht="30" customHeight="1">
      <x:c r="A91" s="9" t="str">
        <x:v>BEAM 100K</x:v>
      </x:c>
      <x:c r="B91" s="9" t="str">
        <x:v>B-A</x:v>
      </x:c>
      <x:c r="C91" s="11" t="n">
        <x:v>100</x:v>
      </x:c>
      <x:c r="D91" s="11" t="n">
        <x:v>20</x:v>
      </x:c>
      <x:c r="E91" s="9" t="str">
        <x:v>Rubric mean</x:v>
      </x:c>
      <x:c r="F91" s="12" t="n">
        <x:v>39.020833333333336</x:v>
      </x:c>
      <x:c r="G91" s="12" t="n">
        <x:v>37.97083333333333</x:v>
      </x:c>
      <x:c r="H91" s="13" t="n">
        <x:f>G91-F91</x:f>
        <x:v>-1.0500000000000043</x:v>
      </x:c>
      <x:c r="I91" s="13" t="n">
        <x:v>-6.12752557544757</x:v>
      </x:c>
      <x:c r="J91" s="13" t="n">
        <x:v>3.4819503047351095</x:v>
      </x:c>
      <x:c r="K91" s="11" t="n">
        <x:v>3</x:v>
      </x:c>
      <x:c r="L91" s="11" t="n">
        <x:v>6</x:v>
      </x:c>
      <x:c r="M91" s="11" t="n">
        <x:v>91</x:v>
      </x:c>
    </x:row>
    <x:row r="92" ht="30" customHeight="1">
      <x:c r="A92" s="9" t="str">
        <x:v>BEAM 100K</x:v>
      </x:c>
      <x:c r="B92" s="9" t="str">
        <x:v>C-B</x:v>
      </x:c>
      <x:c r="C92" s="11" t="n">
        <x:v>100</x:v>
      </x:c>
      <x:c r="D92" s="11" t="n">
        <x:v>20</x:v>
      </x:c>
      <x:c r="E92" s="9" t="str">
        <x:v>Rubric mean</x:v>
      </x:c>
      <x:c r="F92" s="12" t="n">
        <x:v>37.97083333333333</x:v>
      </x:c>
      <x:c r="G92" s="12" t="n">
        <x:v>37.09583333333333</x:v>
      </x:c>
      <x:c r="H92" s="13" t="n">
        <x:f>G92-F92</x:f>
        <x:v>-0.875</x:v>
      </x:c>
      <x:c r="I92" s="13" t="n">
        <x:v>-6.25</x:v>
      </x:c>
      <x:c r="J92" s="13" t="n">
        <x:v>4.832457983193274</x:v>
      </x:c>
      <x:c r="K92" s="11" t="n">
        <x:v>5</x:v>
      </x:c>
      <x:c r="L92" s="11" t="n">
        <x:v>5</x:v>
      </x:c>
      <x:c r="M92" s="11" t="n">
        <x:v>90</x:v>
      </x:c>
    </x:row>
    <x:row r="93" ht="30" customHeight="1">
      <x:c r="A93" s="9" t="str">
        <x:v>BEAM 100K</x:v>
      </x:c>
      <x:c r="B93" s="9" t="str">
        <x:v>D-C</x:v>
      </x:c>
      <x:c r="C93" s="11" t="n">
        <x:v>100</x:v>
      </x:c>
      <x:c r="D93" s="11" t="n">
        <x:v>20</x:v>
      </x:c>
      <x:c r="E93" s="9" t="str">
        <x:v>Rubric mean</x:v>
      </x:c>
      <x:c r="F93" s="12" t="n">
        <x:v>37.09583333333333</x:v>
      </x:c>
      <x:c r="G93" s="12" t="n">
        <x:v>38.1</x:v>
      </x:c>
      <x:c r="H93" s="13" t="n">
        <x:f>G93-F93</x:f>
        <x:v>1.00416666666667</x:v>
      </x:c>
      <x:c r="I93" s="13" t="n">
        <x:v>-4.357562603354594</x:v>
      </x:c>
      <x:c r="J93" s="13" t="n">
        <x:v>6.029027698480665</x:v>
      </x:c>
      <x:c r="K93" s="11" t="n">
        <x:v>16</x:v>
      </x:c>
      <x:c r="L93" s="11" t="n">
        <x:v>12</x:v>
      </x:c>
      <x:c r="M93" s="11" t="n">
        <x:v>72</x:v>
      </x:c>
    </x:row>
    <x:row r="94" ht="30" customHeight="1">
      <x:c r="A94" s="9" t="str">
        <x:v>BEAM 100K</x:v>
      </x:c>
      <x:c r="B94" s="9" t="str">
        <x:v>C-A</x:v>
      </x:c>
      <x:c r="C94" s="11" t="n">
        <x:v>100</x:v>
      </x:c>
      <x:c r="D94" s="11" t="n">
        <x:v>20</x:v>
      </x:c>
      <x:c r="E94" s="9" t="str">
        <x:v>Rubric mean</x:v>
      </x:c>
      <x:c r="F94" s="12" t="n">
        <x:v>39.020833333333336</x:v>
      </x:c>
      <x:c r="G94" s="12" t="n">
        <x:v>37.09583333333333</x:v>
      </x:c>
      <x:c r="H94" s="13" t="n">
        <x:f>G94-F94</x:f>
        <x:v>-1.9250000000000043</x:v>
      </x:c>
      <x:c r="I94" s="13" t="n">
        <x:v>-5.9595635089209855</x:v>
      </x:c>
      <x:c r="J94" s="13" t="n">
        <x:v>1.738875598086113</x:v>
      </x:c>
      <x:c r="K94" s="11" t="n">
        <x:v>2</x:v>
      </x:c>
      <x:c r="L94" s="11" t="n">
        <x:v>6</x:v>
      </x:c>
      <x:c r="M94" s="11" t="n">
        <x:v>92</x:v>
      </x:c>
    </x:row>
    <x:row r="95" ht="30" customHeight="1">
      <x:c r="A95" s="9" t="str">
        <x:v>BEAM 100K</x:v>
      </x:c>
      <x:c r="B95" s="9" t="str">
        <x:v>D-A</x:v>
      </x:c>
      <x:c r="C95" s="11" t="n">
        <x:v>100</x:v>
      </x:c>
      <x:c r="D95" s="11" t="n">
        <x:v>20</x:v>
      </x:c>
      <x:c r="E95" s="9" t="str">
        <x:v>Rubric mean</x:v>
      </x:c>
      <x:c r="F95" s="12" t="n">
        <x:v>39.020833333333336</x:v>
      </x:c>
      <x:c r="G95" s="12" t="n">
        <x:v>38.1</x:v>
      </x:c>
      <x:c r="H95" s="13" t="n">
        <x:f>G95-F95</x:f>
        <x:v>-0.9208333333333343</x:v>
      </x:c>
      <x:c r="I95" s="13" t="n">
        <x:v>-5.948573179271708</x:v>
      </x:c>
      <x:c r="J95" s="13" t="n">
        <x:v>3.37569444444444</x:v>
      </x:c>
      <x:c r="K95" s="11" t="n">
        <x:v>13</x:v>
      </x:c>
      <x:c r="L95" s="11" t="n">
        <x:v>12</x:v>
      </x:c>
      <x:c r="M95" s="11" t="n">
        <x:v>75</x:v>
      </x:c>
    </x:row>
    <x:row r="96" ht="30" customHeight="1">
      <x:c r="A96" s="9" t="str">
        <x:v>BEAM 500K</x:v>
      </x:c>
      <x:c r="B96" s="9" t="str">
        <x:v>B-A</x:v>
      </x:c>
      <x:c r="C96" s="11" t="n">
        <x:v>100</x:v>
      </x:c>
      <x:c r="D96" s="11" t="n">
        <x:v>32</x:v>
      </x:c>
      <x:c r="E96" s="9" t="str">
        <x:v>Rubric mean</x:v>
      </x:c>
      <x:c r="F96" s="12" t="n">
        <x:v>26.766666666666666</x:v>
      </x:c>
      <x:c r="G96" s="12" t="n">
        <x:v>24.712500000000002</x:v>
      </x:c>
      <x:c r="H96" s="13" t="n">
        <x:f>G96-F96</x:f>
        <x:v>-2.0541666666666636</x:v>
      </x:c>
      <x:c r="I96" s="13" t="n">
        <x:v>-5.607946537990196</x:v>
      </x:c>
      <x:c r="J96" s="13" t="n">
        <x:v>1.6341851096874385</x:v>
      </x:c>
      <x:c r="K96" s="11" t="n">
        <x:v>6</x:v>
      </x:c>
      <x:c r="L96" s="11" t="n">
        <x:v>8</x:v>
      </x:c>
      <x:c r="M96" s="11" t="n">
        <x:v>86</x:v>
      </x:c>
    </x:row>
    <x:row r="97" ht="30" customHeight="1">
      <x:c r="A97" s="9" t="str">
        <x:v>BEAM 500K</x:v>
      </x:c>
      <x:c r="B97" s="9" t="str">
        <x:v>C-B</x:v>
      </x:c>
      <x:c r="C97" s="11" t="n">
        <x:v>100</x:v>
      </x:c>
      <x:c r="D97" s="11" t="n">
        <x:v>32</x:v>
      </x:c>
      <x:c r="E97" s="9" t="str">
        <x:v>Rubric mean</x:v>
      </x:c>
      <x:c r="F97" s="12" t="n">
        <x:v>24.712500000000002</x:v>
      </x:c>
      <x:c r="G97" s="12" t="n">
        <x:v>24.125</x:v>
      </x:c>
      <x:c r="H97" s="13" t="n">
        <x:f>G97-F97</x:f>
        <x:v>-0.5875000000000021</x:v>
      </x:c>
      <x:c r="I97" s="13" t="n">
        <x:v>-4.681753117913832</x:v>
      </x:c>
      <x:c r="J97" s="13" t="n">
        <x:v>3.376053370786513</x:v>
      </x:c>
      <x:c r="K97" s="11" t="n">
        <x:v>4</x:v>
      </x:c>
      <x:c r="L97" s="11" t="n">
        <x:v>9</x:v>
      </x:c>
      <x:c r="M97" s="11" t="n">
        <x:v>87</x:v>
      </x:c>
    </x:row>
    <x:row r="98" ht="30" customHeight="1">
      <x:c r="A98" s="9" t="str">
        <x:v>BEAM 500K</x:v>
      </x:c>
      <x:c r="B98" s="9" t="str">
        <x:v>D-C</x:v>
      </x:c>
      <x:c r="C98" s="11" t="n">
        <x:v>100</x:v>
      </x:c>
      <x:c r="D98" s="11" t="n">
        <x:v>32</x:v>
      </x:c>
      <x:c r="E98" s="9" t="str">
        <x:v>Rubric mean</x:v>
      </x:c>
      <x:c r="F98" s="12" t="n">
        <x:v>24.125</x:v>
      </x:c>
      <x:c r="G98" s="12" t="n">
        <x:v>27.391666666666666</x:v>
      </x:c>
      <x:c r="H98" s="13" t="n">
        <x:f>G98-F98</x:f>
        <x:v>3.2666666666666657</x:v>
      </x:c>
      <x:c r="I98" s="13" t="n">
        <x:v>-1.4670370370370376</x:v>
      </x:c>
      <x:c r="J98" s="13" t="n">
        <x:v>8.18189318931893</x:v>
      </x:c>
      <x:c r="K98" s="11" t="n">
        <x:v>17</x:v>
      </x:c>
      <x:c r="L98" s="11" t="n">
        <x:v>3</x:v>
      </x:c>
      <x:c r="M98" s="11" t="n">
        <x:v>80</x:v>
      </x:c>
    </x:row>
    <x:row r="99" ht="30" customHeight="1">
      <x:c r="A99" s="9" t="str">
        <x:v>BEAM 500K</x:v>
      </x:c>
      <x:c r="B99" s="9" t="str">
        <x:v>C-A</x:v>
      </x:c>
      <x:c r="C99" s="11" t="n">
        <x:v>100</x:v>
      </x:c>
      <x:c r="D99" s="11" t="n">
        <x:v>32</x:v>
      </x:c>
      <x:c r="E99" s="9" t="str">
        <x:v>Rubric mean</x:v>
      </x:c>
      <x:c r="F99" s="12" t="n">
        <x:v>26.766666666666666</x:v>
      </x:c>
      <x:c r="G99" s="12" t="n">
        <x:v>24.125</x:v>
      </x:c>
      <x:c r="H99" s="13" t="n">
        <x:f>G99-F99</x:f>
        <x:v>-2.6416666666666657</x:v>
      </x:c>
      <x:c r="I99" s="13" t="n">
        <x:v>-6.6010726072607255</x:v>
      </x:c>
      <x:c r="J99" s="13" t="n">
        <x:v>1.0715120160213614</x:v>
      </x:c>
      <x:c r="K99" s="11" t="n">
        <x:v>3</x:v>
      </x:c>
      <x:c r="L99" s="11" t="n">
        <x:v>10</x:v>
      </x:c>
      <x:c r="M99" s="11" t="n">
        <x:v>87</x:v>
      </x:c>
    </x:row>
    <x:row r="100" ht="30" customHeight="1">
      <x:c r="A100" s="9" t="str">
        <x:v>BEAM 500K</x:v>
      </x:c>
      <x:c r="B100" s="9" t="str">
        <x:v>D-A</x:v>
      </x:c>
      <x:c r="C100" s="11" t="n">
        <x:v>100</x:v>
      </x:c>
      <x:c r="D100" s="11" t="n">
        <x:v>32</x:v>
      </x:c>
      <x:c r="E100" s="9" t="str">
        <x:v>Rubric mean</x:v>
      </x:c>
      <x:c r="F100" s="12" t="n">
        <x:v>26.766666666666666</x:v>
      </x:c>
      <x:c r="G100" s="12" t="n">
        <x:v>27.391666666666666</x:v>
      </x:c>
      <x:c r="H100" s="13" t="n">
        <x:f>G100-F100</x:f>
        <x:v>0.625</x:v>
      </x:c>
      <x:c r="I100" s="13" t="n">
        <x:v>-4.750168010752689</x:v>
      </x:c>
      <x:c r="J100" s="13" t="n">
        <x:v>6.016775525525524</x:v>
      </x:c>
      <x:c r="K100" s="11" t="n">
        <x:v>13</x:v>
      </x:c>
      <x:c r="L100" s="11" t="n">
        <x:v>9</x:v>
      </x:c>
      <x:c r="M100" s="11" t="n">
        <x:v>78</x:v>
      </x:c>
    </x:row>
    <x:row r="101" ht="30" customHeight="1">
      <x:c r="A101" s="9" t="str">
        <x:v>BEAM 1M</x:v>
      </x:c>
      <x:c r="B101" s="9" t="str">
        <x:v>B-A</x:v>
      </x:c>
      <x:c r="C101" s="11" t="n">
        <x:v>100</x:v>
      </x:c>
      <x:c r="D101" s="11" t="n">
        <x:v>34</x:v>
      </x:c>
      <x:c r="E101" s="9" t="str">
        <x:v>Rubric mean</x:v>
      </x:c>
      <x:c r="F101" s="12" t="n">
        <x:v>26.666666666666668</x:v>
      </x:c>
      <x:c r="G101" s="12" t="n">
        <x:v>27.569444444444446</x:v>
      </x:c>
      <x:c r="H101" s="13" t="n">
        <x:f>G101-F101</x:f>
        <x:v>0.9027777777777786</x:v>
      </x:c>
      <x:c r="I101" s="13" t="n">
        <x:v>-2.005259799077734</x:v>
      </x:c>
      <x:c r="J101" s="13" t="n">
        <x:v>4.11739777432712</x:v>
      </x:c>
      <x:c r="K101" s="11" t="n">
        <x:v>4</x:v>
      </x:c>
      <x:c r="L101" s="11" t="n">
        <x:v>5</x:v>
      </x:c>
      <x:c r="M101" s="11" t="n">
        <x:v>91</x:v>
      </x:c>
    </x:row>
    <x:row r="102" ht="30" customHeight="1">
      <x:c r="A102" s="9" t="str">
        <x:v>BEAM 1M</x:v>
      </x:c>
      <x:c r="B102" s="9" t="str">
        <x:v>C-B</x:v>
      </x:c>
      <x:c r="C102" s="11" t="n">
        <x:v>100</x:v>
      </x:c>
      <x:c r="D102" s="11" t="n">
        <x:v>34</x:v>
      </x:c>
      <x:c r="E102" s="9" t="str">
        <x:v>Rubric mean</x:v>
      </x:c>
      <x:c r="F102" s="12" t="n">
        <x:v>27.569444444444446</x:v>
      </x:c>
      <x:c r="G102" s="12" t="n">
        <x:v>28.075</x:v>
      </x:c>
      <x:c r="H102" s="13" t="n">
        <x:f>G102-F102</x:f>
        <x:v>0.5055555555555529</x:v>
      </x:c>
      <x:c r="I102" s="13" t="n">
        <x:v>-2.329562991021324</x:v>
      </x:c>
      <x:c r="J102" s="13" t="n">
        <x:v>2.9929428111744905</x:v>
      </x:c>
      <x:c r="K102" s="11" t="n">
        <x:v>7</x:v>
      </x:c>
      <x:c r="L102" s="11" t="n">
        <x:v>3</x:v>
      </x:c>
      <x:c r="M102" s="11" t="n">
        <x:v>90</x:v>
      </x:c>
    </x:row>
    <x:row r="103" ht="30" customHeight="1">
      <x:c r="A103" s="9" t="str">
        <x:v>BEAM 1M</x:v>
      </x:c>
      <x:c r="B103" s="9" t="str">
        <x:v>D-C</x:v>
      </x:c>
      <x:c r="C103" s="11" t="n">
        <x:v>100</x:v>
      </x:c>
      <x:c r="D103" s="11" t="n">
        <x:v>34</x:v>
      </x:c>
      <x:c r="E103" s="9" t="str">
        <x:v>Rubric mean</x:v>
      </x:c>
      <x:c r="F103" s="12" t="n">
        <x:v>28.075</x:v>
      </x:c>
      <x:c r="G103" s="12" t="n">
        <x:v>28.975</x:v>
      </x:c>
      <x:c r="H103" s="13" t="n">
        <x:f>G103-F103</x:f>
        <x:v>0.9000000000000021</x:v>
      </x:c>
      <x:c r="I103" s="13" t="n">
        <x:v>-2.596133025795519</x:v>
      </x:c>
      <x:c r="J103" s="13" t="n">
        <x:v>4.909370199692775</x:v>
      </x:c>
      <x:c r="K103" s="11" t="n">
        <x:v>11</x:v>
      </x:c>
      <x:c r="L103" s="11" t="n">
        <x:v>8</x:v>
      </x:c>
      <x:c r="M103" s="11" t="n">
        <x:v>81</x:v>
      </x:c>
    </x:row>
    <x:row r="104" ht="30" customHeight="1">
      <x:c r="A104" s="9" t="str">
        <x:v>BEAM 1M</x:v>
      </x:c>
      <x:c r="B104" s="9" t="str">
        <x:v>C-A</x:v>
      </x:c>
      <x:c r="C104" s="11" t="n">
        <x:v>100</x:v>
      </x:c>
      <x:c r="D104" s="11" t="n">
        <x:v>34</x:v>
      </x:c>
      <x:c r="E104" s="9" t="str">
        <x:v>Rubric mean</x:v>
      </x:c>
      <x:c r="F104" s="12" t="n">
        <x:v>26.666666666666668</x:v>
      </x:c>
      <x:c r="G104" s="12" t="n">
        <x:v>28.075</x:v>
      </x:c>
      <x:c r="H104" s="13" t="n">
        <x:f>G104-F104</x:f>
        <x:v>1.4083333333333314</x:v>
      </x:c>
      <x:c r="I104" s="13" t="n">
        <x:v>-1.4528012576023086</x:v>
      </x:c>
      <x:c r="J104" s="13" t="n">
        <x:v>4.506332983927323</x:v>
      </x:c>
      <x:c r="K104" s="11" t="n">
        <x:v>8</x:v>
      </x:c>
      <x:c r="L104" s="11" t="n">
        <x:v>4</x:v>
      </x:c>
      <x:c r="M104" s="11" t="n">
        <x:v>88</x:v>
      </x:c>
    </x:row>
    <x:row r="105" ht="30" customHeight="1">
      <x:c r="A105" s="9" t="str">
        <x:v>BEAM 1M</x:v>
      </x:c>
      <x:c r="B105" s="9" t="str">
        <x:v>D-A</x:v>
      </x:c>
      <x:c r="C105" s="11" t="n">
        <x:v>100</x:v>
      </x:c>
      <x:c r="D105" s="11" t="n">
        <x:v>34</x:v>
      </x:c>
      <x:c r="E105" s="9" t="str">
        <x:v>Rubric mean</x:v>
      </x:c>
      <x:c r="F105" s="12" t="n">
        <x:v>26.666666666666668</x:v>
      </x:c>
      <x:c r="G105" s="12" t="n">
        <x:v>28.975</x:v>
      </x:c>
      <x:c r="H105" s="13" t="n">
        <x:f>G105-F105</x:f>
        <x:v>2.3083333333333336</x:v>
      </x:c>
      <x:c r="I105" s="13" t="n">
        <x:v>-1.3017180735930736</x:v>
      </x:c>
      <x:c r="J105" s="13" t="n">
        <x:v>6.163985148514848</x:v>
      </x:c>
      <x:c r="K105" s="11" t="n">
        <x:v>12</x:v>
      </x:c>
      <x:c r="L105" s="11" t="n">
        <x:v>6</x:v>
      </x:c>
      <x:c r="M105" s="11" t="n">
        <x:v>82</x:v>
      </x:c>
    </x:row>
  </x:sheetData>
  <x:mergeCells>
    <x:mergeCell ref="A2:M3"/>
  </x:mergeCells>
  <x:pageMargins left="0.7" right="0.7" top="0.75" bottom="0.75" header="0.3" footer="0.3"/>
  <x:tableParts count="1">
    <x:tablePart xmlns:r="http://schemas.openxmlformats.org/officeDocument/2006/relationships" r:id="Rd03d7c5877a9490d"/>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2" hidden="0" customWidth="1"/>
    <x:col min="2" max="2" width="34" hidden="0" customWidth="1"/>
    <x:col min="3" max="3" width="1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2" customHeight="1">
      <x:c r="A1" s="3" t="str">
        <x:v>Results by question type</x:v>
      </x:c>
      <x:c r="B1" s="2"/>
      <x:c r="C1" s="2"/>
      <x:c r="D1" s="2"/>
      <x:c r="E1" s="2"/>
      <x:c r="F1" s="2"/>
      <x:c r="G1" s="2"/>
      <x:c r="H1" s="2"/>
      <x:c r="I1" s="2"/>
      <x:c r="J1" s="2"/>
    </x:row>
    <x:row r="2" ht="22" customHeight="1">
      <x:c r="A2" s="5" t="str">
        <x:v>Scores /100. Full A and matched A use different denominators. Blank values indicate no sampled questions or unfinished results. Source: question metadata and saved answer scores.</x:v>
      </x:c>
      <x:c r="B2" s="5"/>
      <x:c r="C2" s="5"/>
      <x:c r="D2" s="5"/>
      <x:c r="E2" s="5"/>
      <x:c r="F2" s="5"/>
      <x:c r="G2" s="5"/>
      <x:c r="H2" s="5"/>
      <x:c r="I2" s="5"/>
      <x:c r="J2" s="5"/>
    </x:row>
    <x:row r="3" ht="22" customHeight="1">
      <x:c r="A3" s="5"/>
      <x:c r="B3" s="5"/>
      <x:c r="C3" s="5"/>
      <x:c r="D3" s="5"/>
      <x:c r="E3" s="5"/>
      <x:c r="F3" s="5"/>
      <x:c r="G3" s="5"/>
      <x:c r="H3" s="5"/>
      <x:c r="I3" s="5"/>
      <x:c r="J3" s="5"/>
    </x:row>
    <x:row r="4" ht="10" customHeight="1">
      <x:c r="A4" s="2"/>
      <x:c r="B4" s="2"/>
      <x:c r="C4" s="2"/>
      <x:c r="D4" s="2"/>
      <x:c r="E4" s="2"/>
      <x:c r="F4" s="2"/>
      <x:c r="G4" s="2"/>
      <x:c r="H4" s="2"/>
      <x:c r="I4" s="2"/>
      <x:c r="J4" s="2"/>
    </x:row>
    <x:row r="5" ht="48" customHeight="1">
      <x:c r="A5" s="8" t="str">
        <x:v>Test</x:v>
      </x:c>
      <x:c r="B5" s="8" t="str">
        <x:v>Question type</x:v>
      </x:c>
      <x:c r="C5" s="8" t="str">
        <x:v>Metric</x:v>
      </x:c>
      <x:c r="D5" s="8" t="str">
        <x:v>Full N</x:v>
      </x:c>
      <x:c r="E5" s="8" t="str">
        <x:v>A full</x:v>
      </x:c>
      <x:c r="F5" s="8" t="str">
        <x:v>Matched N</x:v>
      </x:c>
      <x:c r="G5" s="8" t="str">
        <x:v>A</x:v>
      </x:c>
      <x:c r="H5" s="8" t="str">
        <x:v>B</x:v>
      </x:c>
      <x:c r="I5" s="8" t="str">
        <x:v>C</x:v>
      </x:c>
      <x:c r="J5" s="8" t="str">
        <x:v>D</x:v>
      </x:c>
    </x:row>
    <x:row r="6" ht="30" customHeight="1">
      <x:c r="A6" s="9" t="str">
        <x:v>LoCoMo</x:v>
      </x:c>
      <x:c r="B6" s="9" t="str">
        <x:v>adversarial</x:v>
      </x:c>
      <x:c r="C6" s="9" t="str">
        <x:v>Judge accuracy</x:v>
      </x:c>
      <x:c r="D6" s="11" t="n">
        <x:v>446</x:v>
      </x:c>
      <x:c r="E6" s="12" t="n">
        <x:v>87.89237668161435</x:v>
      </x:c>
      <x:c r="F6" s="11" t="n">
        <x:v>23</x:v>
      </x:c>
      <x:c r="G6" s="12" t="n">
        <x:v>91.30434782608695</x:v>
      </x:c>
      <x:c r="H6" s="12" t="n">
        <x:v>100</x:v>
      </x:c>
      <x:c r="I6" s="12" t="n">
        <x:v>100</x:v>
      </x:c>
      <x:c r="J6" s="12" t="n">
        <x:v>91.30434782608695</x:v>
      </x:c>
    </x:row>
    <x:row r="7" ht="30" customHeight="1">
      <x:c r="A7" s="9" t="str">
        <x:v>LoCoMo</x:v>
      </x:c>
      <x:c r="B7" s="9" t="str">
        <x:v>multi_hop</x:v>
      </x:c>
      <x:c r="C7" s="9" t="str">
        <x:v>Judge accuracy</x:v>
      </x:c>
      <x:c r="D7" s="11" t="n">
        <x:v>282</x:v>
      </x:c>
      <x:c r="E7" s="12" t="n">
        <x:v>34.04255319148936</x:v>
      </x:c>
      <x:c r="F7" s="11" t="n">
        <x:v>14</x:v>
      </x:c>
      <x:c r="G7" s="12" t="n">
        <x:v>42.857142857142854</x:v>
      </x:c>
      <x:c r="H7" s="12" t="n">
        <x:v>28.57142857142857</x:v>
      </x:c>
      <x:c r="I7" s="12" t="n">
        <x:v>35.714285714285715</x:v>
      </x:c>
      <x:c r="J7" s="12" t="n">
        <x:v>42.857142857142854</x:v>
      </x:c>
    </x:row>
    <x:row r="8" ht="30" customHeight="1">
      <x:c r="A8" s="9" t="str">
        <x:v>LoCoMo</x:v>
      </x:c>
      <x:c r="B8" s="9" t="str">
        <x:v>open_domain</x:v>
      </x:c>
      <x:c r="C8" s="9" t="str">
        <x:v>Judge accuracy</x:v>
      </x:c>
      <x:c r="D8" s="11" t="n">
        <x:v>96</x:v>
      </x:c>
      <x:c r="E8" s="12" t="n">
        <x:v>20.833333333333336</x:v>
      </x:c>
      <x:c r="F8" s="11" t="n">
        <x:v>5</x:v>
      </x:c>
      <x:c r="G8" s="12" t="n">
        <x:v>0</x:v>
      </x:c>
      <x:c r="H8" s="12" t="n">
        <x:v>0</x:v>
      </x:c>
      <x:c r="I8" s="12" t="n">
        <x:v>0</x:v>
      </x:c>
      <x:c r="J8" s="12" t="n">
        <x:v>0</x:v>
      </x:c>
    </x:row>
    <x:row r="9" ht="30" customHeight="1">
      <x:c r="A9" s="9" t="str">
        <x:v>LoCoMo</x:v>
      </x:c>
      <x:c r="B9" s="9" t="str">
        <x:v>single_hop</x:v>
      </x:c>
      <x:c r="C9" s="9" t="str">
        <x:v>Judge accuracy</x:v>
      </x:c>
      <x:c r="D9" s="11" t="n">
        <x:v>841</x:v>
      </x:c>
      <x:c r="E9" s="12" t="n">
        <x:v>73.24613555291319</x:v>
      </x:c>
      <x:c r="F9" s="11" t="n">
        <x:v>42</x:v>
      </x:c>
      <x:c r="G9" s="12" t="n">
        <x:v>78.57142857142857</x:v>
      </x:c>
      <x:c r="H9" s="12" t="n">
        <x:v>76.19047619047619</x:v>
      </x:c>
      <x:c r="I9" s="12" t="n">
        <x:v>71.42857142857143</x:v>
      </x:c>
      <x:c r="J9" s="12" t="n">
        <x:v>73.80952380952381</x:v>
      </x:c>
    </x:row>
    <x:row r="10" ht="30" customHeight="1">
      <x:c r="A10" s="9" t="str">
        <x:v>LoCoMo</x:v>
      </x:c>
      <x:c r="B10" s="9" t="str">
        <x:v>temporal</x:v>
      </x:c>
      <x:c r="C10" s="9" t="str">
        <x:v>Judge accuracy</x:v>
      </x:c>
      <x:c r="D10" s="11" t="n">
        <x:v>321</x:v>
      </x:c>
      <x:c r="E10" s="12" t="n">
        <x:v>66.04361370716511</x:v>
      </x:c>
      <x:c r="F10" s="11" t="n">
        <x:v>16</x:v>
      </x:c>
      <x:c r="G10" s="12" t="n">
        <x:v>50</x:v>
      </x:c>
      <x:c r="H10" s="12" t="n">
        <x:v>37.5</x:v>
      </x:c>
      <x:c r="I10" s="12" t="n">
        <x:v>43.75</x:v>
      </x:c>
      <x:c r="J10" s="12" t="n">
        <x:v>37.5</x:v>
      </x:c>
    </x:row>
    <x:row r="11" ht="30" customHeight="1">
      <x:c r="A11" s="9" t="str">
        <x:v>MuSiQue</x:v>
      </x:c>
      <x:c r="B11" s="9" t="str">
        <x:v>2hop</x:v>
      </x:c>
      <x:c r="C11" s="9" t="str">
        <x:v>F1</x:v>
      </x:c>
      <x:c r="D11" s="11" t="n">
        <x:v>518</x:v>
      </x:c>
      <x:c r="E11" s="12" t="n">
        <x:v>54.202331380174286</x:v>
      </x:c>
      <x:c r="F11" s="11" t="n">
        <x:v>52</x:v>
      </x:c>
      <x:c r="G11" s="12" t="n">
        <x:v>58.21595071595071</x:v>
      </x:c>
      <x:c r="H11" s="12" t="n">
        <x:v>58.32033351264121</x:v>
      </x:c>
      <x:c r="I11" s="12" t="n">
        <x:v>57.48700017930787</x:v>
      </x:c>
      <x:c r="J11" s="12" t="n">
        <x:v>63.18070818070818</x:v>
      </x:c>
    </x:row>
    <x:row r="12" ht="30" customHeight="1">
      <x:c r="A12" s="9" t="str">
        <x:v>MuSiQue</x:v>
      </x:c>
      <x:c r="B12" s="9" t="str">
        <x:v>3hop1</x:v>
      </x:c>
      <x:c r="C12" s="9" t="str">
        <x:v>F1</x:v>
      </x:c>
      <x:c r="D12" s="11" t="n">
        <x:v>243</x:v>
      </x:c>
      <x:c r="E12" s="12" t="n">
        <x:v>53.35391262224959</x:v>
      </x:c>
      <x:c r="F12" s="11" t="n">
        <x:v>24</x:v>
      </x:c>
      <x:c r="G12" s="12" t="n">
        <x:v>58.425925925925924</x:v>
      </x:c>
      <x:c r="H12" s="12" t="n">
        <x:v>54.732142857142854</x:v>
      </x:c>
      <x:c r="I12" s="12" t="n">
        <x:v>59.87920168067227</x:v>
      </x:c>
      <x:c r="J12" s="12" t="n">
        <x:v>54.60526315789473</x:v>
      </x:c>
    </x:row>
    <x:row r="13" ht="30" customHeight="1">
      <x:c r="A13" s="9" t="str">
        <x:v>MuSiQue</x:v>
      </x:c>
      <x:c r="B13" s="9" t="str">
        <x:v>3hop2</x:v>
      </x:c>
      <x:c r="C13" s="9" t="str">
        <x:v>F1</x:v>
      </x:c>
      <x:c r="D13" s="11" t="n">
        <x:v>73</x:v>
      </x:c>
      <x:c r="E13" s="12" t="n">
        <x:v>29.245488149597737</x:v>
      </x:c>
      <x:c r="F13" s="11" t="n">
        <x:v>7</x:v>
      </x:c>
      <x:c r="G13" s="12" t="n">
        <x:v>30.714285714285715</x:v>
      </x:c>
      <x:c r="H13" s="12" t="n">
        <x:v>27.142857142857142</x:v>
      </x:c>
      <x:c r="I13" s="12" t="n">
        <x:v>17.142857142857142</x:v>
      </x:c>
      <x:c r="J13" s="12" t="n">
        <x:v>32.72727272727273</x:v>
      </x:c>
    </x:row>
    <x:row r="14" ht="30" customHeight="1">
      <x:c r="A14" s="9" t="str">
        <x:v>MuSiQue</x:v>
      </x:c>
      <x:c r="B14" s="9" t="str">
        <x:v>4hop1</x:v>
      </x:c>
      <x:c r="C14" s="9" t="str">
        <x:v>F1</x:v>
      </x:c>
      <x:c r="D14" s="11" t="n">
        <x:v>108</x:v>
      </x:c>
      <x:c r="E14" s="12" t="n">
        <x:v>39.64908107261273</x:v>
      </x:c>
      <x:c r="F14" s="11" t="n">
        <x:v>11</x:v>
      </x:c>
      <x:c r="G14" s="12" t="n">
        <x:v>49.09090909090909</x:v>
      </x:c>
      <x:c r="H14" s="12" t="n">
        <x:v>30.909090909090907</x:v>
      </x:c>
      <x:c r="I14" s="12" t="n">
        <x:v>21.818181818181817</x:v>
      </x:c>
      <x:c r="J14" s="12" t="n">
        <x:v>35.45454545454545</x:v>
      </x:c>
    </x:row>
    <x:row r="15" ht="30" customHeight="1">
      <x:c r="A15" s="9" t="str">
        <x:v>MuSiQue</x:v>
      </x:c>
      <x:c r="B15" s="9" t="str">
        <x:v>4hop2</x:v>
      </x:c>
      <x:c r="C15" s="9" t="str">
        <x:v>F1</x:v>
      </x:c>
      <x:c r="D15" s="11" t="n">
        <x:v>27</x:v>
      </x:c>
      <x:c r="E15" s="12" t="n">
        <x:v>14.975394975394977</x:v>
      </x:c>
      <x:c r="F15" s="11" t="n">
        <x:v>3</x:v>
      </x:c>
      <x:c r="G15" s="12" t="n">
        <x:v>16.666666666666664</x:v>
      </x:c>
      <x:c r="H15" s="12" t="n">
        <x:v>33.33333333333333</x:v>
      </x:c>
      <x:c r="I15" s="12" t="n">
        <x:v>66.66666666666666</x:v>
      </x:c>
      <x:c r="J15" s="12" t="n">
        <x:v>33.33333333333333</x:v>
      </x:c>
    </x:row>
    <x:row r="16" ht="30" customHeight="1">
      <x:c r="A16" s="9" t="str">
        <x:v>MuSiQue</x:v>
      </x:c>
      <x:c r="B16" s="9" t="str">
        <x:v>4hop3</x:v>
      </x:c>
      <x:c r="C16" s="9" t="str">
        <x:v>F1</x:v>
      </x:c>
      <x:c r="D16" s="11" t="n">
        <x:v>31</x:v>
      </x:c>
      <x:c r="E16" s="12" t="n">
        <x:v>26.021505376344084</x:v>
      </x:c>
      <x:c r="F16" s="11" t="n">
        <x:v>3</x:v>
      </x:c>
      <x:c r="G16" s="12" t="n">
        <x:v>22.22222222222222</x:v>
      </x:c>
      <x:c r="H16" s="12" t="n">
        <x:v>0</x:v>
      </x:c>
      <x:c r="I16" s="12" t="n">
        <x:v>0</x:v>
      </x:c>
      <x:c r="J16" s="12" t="n">
        <x:v>22.22222222222222</x:v>
      </x:c>
    </x:row>
    <x:row r="17" ht="30" customHeight="1">
      <x:c r="A17" s="9" t="str">
        <x:v>2WikiMultiHopQA</x:v>
      </x:c>
      <x:c r="B17" s="9" t="str">
        <x:v>bridge_comparison</x:v>
      </x:c>
      <x:c r="C17" s="9" t="str">
        <x:v>F1</x:v>
      </x:c>
      <x:c r="D17" s="11" t="n">
        <x:v>235</x:v>
      </x:c>
      <x:c r="E17" s="12" t="n">
        <x:v>82.41222580857651</x:v>
      </x:c>
      <x:c r="F17" s="11" t="n">
        <x:v>24</x:v>
      </x:c>
      <x:c r="G17" s="12" t="n">
        <x:v>63.970588235294116</x:v>
      </x:c>
      <x:c r="H17" s="12" t="n">
        <x:v>70.83333333333334</x:v>
      </x:c>
      <x:c r="I17" s="12" t="n">
        <x:v>79.16666666666666</x:v>
      </x:c>
      <x:c r="J17" s="12" t="n">
        <x:v>65.27777777777779</x:v>
      </x:c>
    </x:row>
    <x:row r="18" ht="30" customHeight="1">
      <x:c r="A18" s="9" t="str">
        <x:v>2WikiMultiHopQA</x:v>
      </x:c>
      <x:c r="B18" s="9" t="str">
        <x:v>comparison</x:v>
      </x:c>
      <x:c r="C18" s="9" t="str">
        <x:v>F1</x:v>
      </x:c>
      <x:c r="D18" s="11" t="n">
        <x:v>244</x:v>
      </x:c>
      <x:c r="E18" s="12" t="n">
        <x:v>96.77254098360656</x:v>
      </x:c>
      <x:c r="F18" s="11" t="n">
        <x:v>24</x:v>
      </x:c>
      <x:c r="G18" s="12" t="n">
        <x:v>100</x:v>
      </x:c>
      <x:c r="H18" s="12" t="n">
        <x:v>100</x:v>
      </x:c>
      <x:c r="I18" s="12" t="n">
        <x:v>100</x:v>
      </x:c>
      <x:c r="J18" s="12" t="n">
        <x:v>100</x:v>
      </x:c>
    </x:row>
    <x:row r="19" ht="30" customHeight="1">
      <x:c r="A19" s="9" t="str">
        <x:v>2WikiMultiHopQA</x:v>
      </x:c>
      <x:c r="B19" s="9" t="str">
        <x:v>compositional</x:v>
      </x:c>
      <x:c r="C19" s="9" t="str">
        <x:v>F1</x:v>
      </x:c>
      <x:c r="D19" s="11" t="n">
        <x:v>413</x:v>
      </x:c>
      <x:c r="E19" s="12" t="n">
        <x:v>35.1855420247573</x:v>
      </x:c>
      <x:c r="F19" s="11" t="n">
        <x:v>41</x:v>
      </x:c>
      <x:c r="G19" s="12" t="n">
        <x:v>23.983739837398375</x:v>
      </x:c>
      <x:c r="H19" s="12" t="n">
        <x:v>22.520325203252032</x:v>
      </x:c>
      <x:c r="I19" s="12" t="n">
        <x:v>24.552845528455283</x:v>
      </x:c>
      <x:c r="J19" s="12" t="n">
        <x:v>21.544715447154474</x:v>
      </x:c>
    </x:row>
    <x:row r="20" ht="30" customHeight="1">
      <x:c r="A20" s="9" t="str">
        <x:v>2WikiMultiHopQA</x:v>
      </x:c>
      <x:c r="B20" s="9" t="str">
        <x:v>inference</x:v>
      </x:c>
      <x:c r="C20" s="9" t="str">
        <x:v>F1</x:v>
      </x:c>
      <x:c r="D20" s="11" t="n">
        <x:v>108</x:v>
      </x:c>
      <x:c r="E20" s="12" t="n">
        <x:v>76.0294022609685</x:v>
      </x:c>
      <x:c r="F20" s="11" t="n">
        <x:v>11</x:v>
      </x:c>
      <x:c r="G20" s="12" t="n">
        <x:v>72.69990878686531</x:v>
      </x:c>
      <x:c r="H20" s="12" t="n">
        <x:v>71.11888111888112</x:v>
      </x:c>
      <x:c r="I20" s="12" t="n">
        <x:v>71.11888111888112</x:v>
      </x:c>
      <x:c r="J20" s="12" t="n">
        <x:v>62.78554778554779</x:v>
      </x:c>
    </x:row>
    <x:row r="21" ht="30" customHeight="1">
      <x:c r="A21" s="9" t="str">
        <x:v>LongMemEval S</x:v>
      </x:c>
      <x:c r="B21" s="9" t="str">
        <x:v>knowledge-update</x:v>
      </x:c>
      <x:c r="C21" s="9" t="str">
        <x:v>Judge accuracy</x:v>
      </x:c>
      <x:c r="D21" s="11" t="n">
        <x:v>78</x:v>
      </x:c>
      <x:c r="E21" s="12" t="n">
        <x:v>89.74358974358975</x:v>
      </x:c>
      <x:c r="F21" s="11" t="n">
        <x:v>15</x:v>
      </x:c>
      <x:c r="G21" s="12" t="n">
        <x:v>86.66666666666667</x:v>
      </x:c>
      <x:c r="H21" s="12" t="n">
        <x:v>93.33333333333333</x:v>
      </x:c>
      <x:c r="I21" s="12" t="n">
        <x:v>86.66666666666667</x:v>
      </x:c>
      <x:c r="J21" s="12" t="n">
        <x:v>100</x:v>
      </x:c>
    </x:row>
    <x:row r="22" ht="30" customHeight="1">
      <x:c r="A22" s="9" t="str">
        <x:v>LongMemEval S</x:v>
      </x:c>
      <x:c r="B22" s="9" t="str">
        <x:v>multi-session</x:v>
      </x:c>
      <x:c r="C22" s="9" t="str">
        <x:v>Judge accuracy</x:v>
      </x:c>
      <x:c r="D22" s="11" t="n">
        <x:v>133</x:v>
      </x:c>
      <x:c r="E22" s="12" t="n">
        <x:v>72.18045112781954</x:v>
      </x:c>
      <x:c r="F22" s="11" t="n">
        <x:v>27</x:v>
      </x:c>
      <x:c r="G22" s="12" t="n">
        <x:v>74.07407407407408</x:v>
      </x:c>
      <x:c r="H22" s="12" t="n">
        <x:v>70.37037037037037</x:v>
      </x:c>
      <x:c r="I22" s="12" t="n">
        <x:v>74.07407407407408</x:v>
      </x:c>
      <x:c r="J22" s="12" t="n">
        <x:v>70.37037037037037</x:v>
      </x:c>
    </x:row>
    <x:row r="23" ht="30" customHeight="1">
      <x:c r="A23" s="9" t="str">
        <x:v>LongMemEval S</x:v>
      </x:c>
      <x:c r="B23" s="9" t="str">
        <x:v>single-session-assistant</x:v>
      </x:c>
      <x:c r="C23" s="9" t="str">
        <x:v>Judge accuracy</x:v>
      </x:c>
      <x:c r="D23" s="11" t="n">
        <x:v>56</x:v>
      </x:c>
      <x:c r="E23" s="12" t="n">
        <x:v>94.64285714285714</x:v>
      </x:c>
      <x:c r="F23" s="11" t="n">
        <x:v>11</x:v>
      </x:c>
      <x:c r="G23" s="12" t="n">
        <x:v>81.81818181818183</x:v>
      </x:c>
      <x:c r="H23" s="12" t="n">
        <x:v>81.81818181818183</x:v>
      </x:c>
      <x:c r="I23" s="12" t="n">
        <x:v>81.81818181818183</x:v>
      </x:c>
      <x:c r="J23" s="12" t="n">
        <x:v>81.81818181818183</x:v>
      </x:c>
    </x:row>
    <x:row r="24" ht="30" customHeight="1">
      <x:c r="A24" s="9" t="str">
        <x:v>LongMemEval S</x:v>
      </x:c>
      <x:c r="B24" s="9" t="str">
        <x:v>single-session-preference</x:v>
      </x:c>
      <x:c r="C24" s="9" t="str">
        <x:v>Judge accuracy</x:v>
      </x:c>
      <x:c r="D24" s="11" t="n">
        <x:v>30</x:v>
      </x:c>
      <x:c r="E24" s="12" t="n">
        <x:v>23.333333333333332</x:v>
      </x:c>
      <x:c r="F24" s="11" t="n">
        <x:v>6</x:v>
      </x:c>
      <x:c r="G24" s="12" t="n">
        <x:v>0</x:v>
      </x:c>
      <x:c r="H24" s="12" t="n">
        <x:v>33.33333333333333</x:v>
      </x:c>
      <x:c r="I24" s="12" t="n">
        <x:v>33.33333333333333</x:v>
      </x:c>
      <x:c r="J24" s="12" t="n">
        <x:v>0</x:v>
      </x:c>
    </x:row>
    <x:row r="25" ht="30" customHeight="1">
      <x:c r="A25" s="9" t="str">
        <x:v>LongMemEval S</x:v>
      </x:c>
      <x:c r="B25" s="9" t="str">
        <x:v>single-session-user</x:v>
      </x:c>
      <x:c r="C25" s="9" t="str">
        <x:v>Judge accuracy</x:v>
      </x:c>
      <x:c r="D25" s="11" t="n">
        <x:v>70</x:v>
      </x:c>
      <x:c r="E25" s="12" t="n">
        <x:v>92.85714285714286</x:v>
      </x:c>
      <x:c r="F25" s="11" t="n">
        <x:v>14</x:v>
      </x:c>
      <x:c r="G25" s="12" t="n">
        <x:v>85.71428571428571</x:v>
      </x:c>
      <x:c r="H25" s="12" t="n">
        <x:v>92.85714285714286</x:v>
      </x:c>
      <x:c r="I25" s="12" t="n">
        <x:v>92.85714285714286</x:v>
      </x:c>
      <x:c r="J25" s="12" t="n">
        <x:v>92.85714285714286</x:v>
      </x:c>
    </x:row>
    <x:row r="26" ht="30" customHeight="1">
      <x:c r="A26" s="9" t="str">
        <x:v>LongMemEval S</x:v>
      </x:c>
      <x:c r="B26" s="9" t="str">
        <x:v>temporal-reasoning</x:v>
      </x:c>
      <x:c r="C26" s="9" t="str">
        <x:v>Judge accuracy</x:v>
      </x:c>
      <x:c r="D26" s="11" t="n">
        <x:v>133</x:v>
      </x:c>
      <x:c r="E26" s="12" t="n">
        <x:v>75.18796992481202</x:v>
      </x:c>
      <x:c r="F26" s="11" t="n">
        <x:v>27</x:v>
      </x:c>
      <x:c r="G26" s="12" t="n">
        <x:v>66.66666666666666</x:v>
      </x:c>
      <x:c r="H26" s="12" t="n">
        <x:v>66.66666666666666</x:v>
      </x:c>
      <x:c r="I26" s="12" t="n">
        <x:v>62.96296296296296</x:v>
      </x:c>
      <x:c r="J26" s="12" t="n">
        <x:v>70.37037037037037</x:v>
      </x:c>
    </x:row>
    <x:row r="27" ht="30" customHeight="1">
      <x:c r="A27" s="9" t="str">
        <x:v>LongMemEval oracle</x:v>
      </x:c>
      <x:c r="B27" s="9" t="str">
        <x:v>knowledge-update</x:v>
      </x:c>
      <x:c r="C27" s="9" t="str">
        <x:v>Judge accuracy</x:v>
      </x:c>
      <x:c r="D27" s="11" t="n">
        <x:v>78</x:v>
      </x:c>
      <x:c r="E27" s="12" t="n">
        <x:v>92.3076923076923</x:v>
      </x:c>
      <x:c r="F27" s="11" t="n">
        <x:v>15</x:v>
      </x:c>
      <x:c r="G27" s="12" t="n">
        <x:v>86.66666666666667</x:v>
      </x:c>
      <x:c r="H27" s="12" t="n">
        <x:v>100</x:v>
      </x:c>
      <x:c r="I27" s="12" t="n">
        <x:v>100</x:v>
      </x:c>
      <x:c r="J27" s="12" t="n">
        <x:v>93.33333333333333</x:v>
      </x:c>
    </x:row>
    <x:row r="28" ht="30" customHeight="1">
      <x:c r="A28" s="9" t="str">
        <x:v>LongMemEval oracle</x:v>
      </x:c>
      <x:c r="B28" s="9" t="str">
        <x:v>multi-session</x:v>
      </x:c>
      <x:c r="C28" s="9" t="str">
        <x:v>Judge accuracy</x:v>
      </x:c>
      <x:c r="D28" s="11" t="n">
        <x:v>133</x:v>
      </x:c>
      <x:c r="E28" s="12" t="n">
        <x:v>75.18796992481202</x:v>
      </x:c>
      <x:c r="F28" s="11" t="n">
        <x:v>27</x:v>
      </x:c>
      <x:c r="G28" s="12" t="n">
        <x:v>70.37037037037037</x:v>
      </x:c>
      <x:c r="H28" s="12" t="n">
        <x:v>62.96296296296296</x:v>
      </x:c>
      <x:c r="I28" s="12" t="n">
        <x:v>77.77777777777779</x:v>
      </x:c>
      <x:c r="J28" s="12" t="n">
        <x:v>74.07407407407408</x:v>
      </x:c>
    </x:row>
    <x:row r="29" ht="30" customHeight="1">
      <x:c r="A29" s="9" t="str">
        <x:v>LongMemEval oracle</x:v>
      </x:c>
      <x:c r="B29" s="9" t="str">
        <x:v>single-session-assistant</x:v>
      </x:c>
      <x:c r="C29" s="9" t="str">
        <x:v>Judge accuracy</x:v>
      </x:c>
      <x:c r="D29" s="11" t="n">
        <x:v>56</x:v>
      </x:c>
      <x:c r="E29" s="12" t="n">
        <x:v>96.42857142857143</x:v>
      </x:c>
      <x:c r="F29" s="11" t="n">
        <x:v>11</x:v>
      </x:c>
      <x:c r="G29" s="12" t="n">
        <x:v>81.81818181818183</x:v>
      </x:c>
      <x:c r="H29" s="12" t="n">
        <x:v>81.81818181818183</x:v>
      </x:c>
      <x:c r="I29" s="12" t="n">
        <x:v>81.81818181818183</x:v>
      </x:c>
      <x:c r="J29" s="12" t="n">
        <x:v>81.81818181818183</x:v>
      </x:c>
    </x:row>
    <x:row r="30" ht="30" customHeight="1">
      <x:c r="A30" s="9" t="str">
        <x:v>LongMemEval oracle</x:v>
      </x:c>
      <x:c r="B30" s="9" t="str">
        <x:v>single-session-preference</x:v>
      </x:c>
      <x:c r="C30" s="9" t="str">
        <x:v>Judge accuracy</x:v>
      </x:c>
      <x:c r="D30" s="11" t="n">
        <x:v>30</x:v>
      </x:c>
      <x:c r="E30" s="12" t="n">
        <x:v>23.333333333333332</x:v>
      </x:c>
      <x:c r="F30" s="11" t="n">
        <x:v>6</x:v>
      </x:c>
      <x:c r="G30" s="12" t="n">
        <x:v>0</x:v>
      </x:c>
      <x:c r="H30" s="12" t="n">
        <x:v>0</x:v>
      </x:c>
      <x:c r="I30" s="12" t="n">
        <x:v>0</x:v>
      </x:c>
      <x:c r="J30" s="12" t="n">
        <x:v>16.666666666666664</x:v>
      </x:c>
    </x:row>
    <x:row r="31" ht="30" customHeight="1">
      <x:c r="A31" s="9" t="str">
        <x:v>LongMemEval oracle</x:v>
      </x:c>
      <x:c r="B31" s="9" t="str">
        <x:v>single-session-user</x:v>
      </x:c>
      <x:c r="C31" s="9" t="str">
        <x:v>Judge accuracy</x:v>
      </x:c>
      <x:c r="D31" s="11" t="n">
        <x:v>70</x:v>
      </x:c>
      <x:c r="E31" s="12" t="n">
        <x:v>91.42857142857143</x:v>
      </x:c>
      <x:c r="F31" s="11" t="n">
        <x:v>14</x:v>
      </x:c>
      <x:c r="G31" s="12" t="n">
        <x:v>92.85714285714286</x:v>
      </x:c>
      <x:c r="H31" s="12" t="n">
        <x:v>92.85714285714286</x:v>
      </x:c>
      <x:c r="I31" s="12" t="n">
        <x:v>100</x:v>
      </x:c>
      <x:c r="J31" s="12" t="n">
        <x:v>100</x:v>
      </x:c>
    </x:row>
    <x:row r="32" ht="30" customHeight="1">
      <x:c r="A32" s="9" t="str">
        <x:v>LongMemEval oracle</x:v>
      </x:c>
      <x:c r="B32" s="9" t="str">
        <x:v>temporal-reasoning</x:v>
      </x:c>
      <x:c r="C32" s="9" t="str">
        <x:v>Judge accuracy</x:v>
      </x:c>
      <x:c r="D32" s="11" t="n">
        <x:v>133</x:v>
      </x:c>
      <x:c r="E32" s="12" t="n">
        <x:v>77.44360902255639</x:v>
      </x:c>
      <x:c r="F32" s="11" t="n">
        <x:v>27</x:v>
      </x:c>
      <x:c r="G32" s="12" t="n">
        <x:v>81.48148148148148</x:v>
      </x:c>
      <x:c r="H32" s="12" t="n">
        <x:v>74.07407407407408</x:v>
      </x:c>
      <x:c r="I32" s="12" t="n">
        <x:v>77.77777777777779</x:v>
      </x:c>
      <x:c r="J32" s="12" t="n">
        <x:v>66.66666666666666</x:v>
      </x:c>
    </x:row>
    <x:row r="33" ht="30" customHeight="1">
      <x:c r="A33" s="9" t="str">
        <x:v>MultiHop-RAG</x:v>
      </x:c>
      <x:c r="B33" s="9" t="str">
        <x:v>comparison_query</x:v>
      </x:c>
      <x:c r="C33" s="9" t="str">
        <x:v>Judge accuracy</x:v>
      </x:c>
      <x:c r="D33" s="11" t="n">
        <x:v>856</x:v>
      </x:c>
      <x:c r="E33" s="12" t="n">
        <x:v>26.285046728971963</x:v>
      </x:c>
      <x:c r="F33" s="11" t="n">
        <x:v>33</x:v>
      </x:c>
      <x:c r="G33" s="12" t="n">
        <x:v>30.303030303030305</x:v>
      </x:c>
      <x:c r="H33" s="12" t="n">
        <x:v>33.33333333333333</x:v>
      </x:c>
      <x:c r="I33" s="12" t="n">
        <x:v>27.27272727272727</x:v>
      </x:c>
      <x:c r="J33" s="12" t="n">
        <x:v>30.303030303030305</x:v>
      </x:c>
    </x:row>
    <x:row r="34" ht="30" customHeight="1">
      <x:c r="A34" s="9" t="str">
        <x:v>MultiHop-RAG</x:v>
      </x:c>
      <x:c r="B34" s="9" t="str">
        <x:v>inference_query</x:v>
      </x:c>
      <x:c r="C34" s="9" t="str">
        <x:v>Judge accuracy</x:v>
      </x:c>
      <x:c r="D34" s="11" t="n">
        <x:v>816</x:v>
      </x:c>
      <x:c r="E34" s="12" t="n">
        <x:v>75.36764705882352</x:v>
      </x:c>
      <x:c r="F34" s="11" t="n">
        <x:v>32</x:v>
      </x:c>
      <x:c r="G34" s="12" t="n">
        <x:v>78.125</x:v>
      </x:c>
      <x:c r="H34" s="12" t="n">
        <x:v>84.375</x:v>
      </x:c>
      <x:c r="I34" s="12" t="n">
        <x:v>87.5</x:v>
      </x:c>
      <x:c r="J34" s="12" t="n">
        <x:v>90.625</x:v>
      </x:c>
    </x:row>
    <x:row r="35" ht="30" customHeight="1">
      <x:c r="A35" s="9" t="str">
        <x:v>MultiHop-RAG</x:v>
      </x:c>
      <x:c r="B35" s="9" t="str">
        <x:v>null_query</x:v>
      </x:c>
      <x:c r="C35" s="9" t="str">
        <x:v>Judge accuracy</x:v>
      </x:c>
      <x:c r="D35" s="11" t="n">
        <x:v>301</x:v>
      </x:c>
      <x:c r="E35" s="12" t="n">
        <x:v>93.35548172757476</x:v>
      </x:c>
      <x:c r="F35" s="11" t="n">
        <x:v>12</x:v>
      </x:c>
      <x:c r="G35" s="12" t="n">
        <x:v>100</x:v>
      </x:c>
      <x:c r="H35" s="12" t="n">
        <x:v>100</x:v>
      </x:c>
      <x:c r="I35" s="12" t="n">
        <x:v>100</x:v>
      </x:c>
      <x:c r="J35" s="12" t="n">
        <x:v>100</x:v>
      </x:c>
    </x:row>
    <x:row r="36" ht="30" customHeight="1">
      <x:c r="A36" s="9" t="str">
        <x:v>MultiHop-RAG</x:v>
      </x:c>
      <x:c r="B36" s="9" t="str">
        <x:v>temporal_query</x:v>
      </x:c>
      <x:c r="C36" s="9" t="str">
        <x:v>Judge accuracy</x:v>
      </x:c>
      <x:c r="D36" s="11" t="n">
        <x:v>583</x:v>
      </x:c>
      <x:c r="E36" s="12" t="n">
        <x:v>24.871355060034304</x:v>
      </x:c>
      <x:c r="F36" s="11" t="n">
        <x:v>23</x:v>
      </x:c>
      <x:c r="G36" s="12" t="n">
        <x:v>26.08695652173913</x:v>
      </x:c>
      <x:c r="H36" s="12" t="n">
        <x:v>17.391304347826086</x:v>
      </x:c>
      <x:c r="I36" s="12" t="n">
        <x:v>30.434782608695656</x:v>
      </x:c>
      <x:c r="J36" s="12" t="n">
        <x:v>26.08695652173913</x:v>
      </x:c>
    </x:row>
    <x:row r="37" ht="30" customHeight="1">
      <x:c r="A37" s="9" t="str">
        <x:v>FactConsolidation SH 6K</x:v>
      </x:c>
      <x:c r="B37" s="9" t="str">
        <x:v>single_hop</x:v>
      </x:c>
      <x:c r="C37" s="9" t="str">
        <x:v>Substring EM</x:v>
      </x:c>
      <x:c r="D37" s="11" t="n">
        <x:v>100</x:v>
      </x:c>
      <x:c r="E37" s="12" t="n">
        <x:v>100</x:v>
      </x:c>
      <x:c r="F37" s="11" t="n">
        <x:v>100</x:v>
      </x:c>
      <x:c r="G37" s="12" t="n">
        <x:v>100</x:v>
      </x:c>
      <x:c r="H37" s="12" t="n">
        <x:v>87</x:v>
      </x:c>
      <x:c r="I37" s="12" t="n">
        <x:v>84</x:v>
      </x:c>
      <x:c r="J37" s="12" t="n">
        <x:v>86</x:v>
      </x:c>
    </x:row>
    <x:row r="38" ht="30" customHeight="1">
      <x:c r="A38" s="9" t="str">
        <x:v>FactConsolidation MH 6K</x:v>
      </x:c>
      <x:c r="B38" s="9" t="str">
        <x:v>multi_hop</x:v>
      </x:c>
      <x:c r="C38" s="9" t="str">
        <x:v>Substring EM</x:v>
      </x:c>
      <x:c r="D38" s="11" t="n">
        <x:v>100</x:v>
      </x:c>
      <x:c r="E38" s="12" t="n">
        <x:v>60</x:v>
      </x:c>
      <x:c r="F38" s="11" t="n">
        <x:v>100</x:v>
      </x:c>
      <x:c r="G38" s="12" t="n">
        <x:v>60</x:v>
      </x:c>
      <x:c r="H38" s="12" t="n">
        <x:v>56.99999999999999</x:v>
      </x:c>
      <x:c r="I38" s="12" t="n">
        <x:v>55.00000000000001</x:v>
      </x:c>
      <x:c r="J38" s="12" t="n">
        <x:v>59</x:v>
      </x:c>
    </x:row>
    <x:row r="39" ht="30" customHeight="1">
      <x:c r="A39" s="9" t="str">
        <x:v>FactConsolidation SH 32K</x:v>
      </x:c>
      <x:c r="B39" s="9" t="str">
        <x:v>single_hop</x:v>
      </x:c>
      <x:c r="C39" s="9" t="str">
        <x:v>Substring EM</x:v>
      </x:c>
      <x:c r="D39" s="11" t="n">
        <x:v>100</x:v>
      </x:c>
      <x:c r="E39" s="12" t="n">
        <x:v>92</x:v>
      </x:c>
      <x:c r="F39" s="11" t="n">
        <x:v>100</x:v>
      </x:c>
      <x:c r="G39" s="12" t="n">
        <x:v>92</x:v>
      </x:c>
      <x:c r="H39" s="12" t="n">
        <x:v>92</x:v>
      </x:c>
      <x:c r="I39" s="12" t="n">
        <x:v>79</x:v>
      </x:c>
      <x:c r="J39" s="12" t="n">
        <x:v>91</x:v>
      </x:c>
    </x:row>
    <x:row r="40" ht="30" customHeight="1">
      <x:c r="A40" s="9" t="str">
        <x:v>FactConsolidation MH 32K</x:v>
      </x:c>
      <x:c r="B40" s="9" t="str">
        <x:v>multi_hop</x:v>
      </x:c>
      <x:c r="C40" s="9" t="str">
        <x:v>Substring EM</x:v>
      </x:c>
      <x:c r="D40" s="11" t="n">
        <x:v>100</x:v>
      </x:c>
      <x:c r="E40" s="12" t="n">
        <x:v>17</x:v>
      </x:c>
      <x:c r="F40" s="11" t="n">
        <x:v>100</x:v>
      </x:c>
      <x:c r="G40" s="12" t="n">
        <x:v>17</x:v>
      </x:c>
      <x:c r="H40" s="12" t="n">
        <x:v>18</x:v>
      </x:c>
      <x:c r="I40" s="12" t="n">
        <x:v>8</x:v>
      </x:c>
      <x:c r="J40" s="12" t="n">
        <x:v>25</x:v>
      </x:c>
    </x:row>
    <x:row r="41" ht="30" customHeight="1">
      <x:c r="A41" s="9" t="str">
        <x:v>FactConsolidation SH 64K</x:v>
      </x:c>
      <x:c r="B41" s="9" t="str">
        <x:v>single_hop</x:v>
      </x:c>
      <x:c r="C41" s="9" t="str">
        <x:v>Substring EM</x:v>
      </x:c>
      <x:c r="D41" s="11" t="n">
        <x:v>100</x:v>
      </x:c>
      <x:c r="E41" s="12" t="n">
        <x:v>86</x:v>
      </x:c>
      <x:c r="F41" s="11" t="n">
        <x:v>100</x:v>
      </x:c>
      <x:c r="G41" s="12" t="n">
        <x:v>86</x:v>
      </x:c>
      <x:c r="H41" s="12" t="n">
        <x:v>90</x:v>
      </x:c>
      <x:c r="I41" s="12" t="n">
        <x:v>74</x:v>
      </x:c>
      <x:c r="J41" s="12" t="n">
        <x:v>90</x:v>
      </x:c>
    </x:row>
    <x:row r="42" ht="30" customHeight="1">
      <x:c r="A42" s="9" t="str">
        <x:v>FactConsolidation MH 64K</x:v>
      </x:c>
      <x:c r="B42" s="9" t="str">
        <x:v>multi_hop</x:v>
      </x:c>
      <x:c r="C42" s="9" t="str">
        <x:v>Substring EM</x:v>
      </x:c>
      <x:c r="D42" s="11" t="n">
        <x:v>100</x:v>
      </x:c>
      <x:c r="E42" s="12" t="n">
        <x:v>15</x:v>
      </x:c>
      <x:c r="F42" s="11" t="n">
        <x:v>100</x:v>
      </x:c>
      <x:c r="G42" s="12" t="n">
        <x:v>15</x:v>
      </x:c>
      <x:c r="H42" s="12" t="n">
        <x:v>16</x:v>
      </x:c>
      <x:c r="I42" s="12" t="n">
        <x:v>15</x:v>
      </x:c>
      <x:c r="J42" s="12" t="n">
        <x:v>16</x:v>
      </x:c>
    </x:row>
    <x:row r="43" ht="30" customHeight="1">
      <x:c r="A43" s="9" t="str">
        <x:v>FactConsolidation SH 262K</x:v>
      </x:c>
      <x:c r="B43" s="9" t="str">
        <x:v>single_hop</x:v>
      </x:c>
      <x:c r="C43" s="9" t="str">
        <x:v>Substring EM</x:v>
      </x:c>
      <x:c r="D43" s="11" t="n">
        <x:v>100</x:v>
      </x:c>
      <x:c r="E43" s="12" t="n">
        <x:v>74</x:v>
      </x:c>
      <x:c r="F43" s="11" t="n">
        <x:v>100</x:v>
      </x:c>
      <x:c r="G43" s="12" t="n">
        <x:v>74</x:v>
      </x:c>
      <x:c r="H43" s="12" t="n">
        <x:v>79</x:v>
      </x:c>
      <x:c r="I43" s="12" t="n">
        <x:v>60</x:v>
      </x:c>
      <x:c r="J43" s="12" t="n">
        <x:v>69</x:v>
      </x:c>
    </x:row>
    <x:row r="44" ht="30" customHeight="1">
      <x:c r="A44" s="9" t="str">
        <x:v>FactConsolidation MH 262K</x:v>
      </x:c>
      <x:c r="B44" s="9" t="str">
        <x:v>multi_hop</x:v>
      </x:c>
      <x:c r="C44" s="9" t="str">
        <x:v>Substring EM</x:v>
      </x:c>
      <x:c r="D44" s="11" t="n">
        <x:v>100</x:v>
      </x:c>
      <x:c r="E44" s="12" t="n">
        <x:v>9</x:v>
      </x:c>
      <x:c r="F44" s="11" t="n">
        <x:v>100</x:v>
      </x:c>
      <x:c r="G44" s="12" t="n">
        <x:v>9</x:v>
      </x:c>
      <x:c r="H44" s="12" t="n">
        <x:v>8</x:v>
      </x:c>
      <x:c r="I44" s="12" t="n">
        <x:v>8</x:v>
      </x:c>
      <x:c r="J44" s="12" t="n">
        <x:v>8</x:v>
      </x:c>
    </x:row>
    <x:row r="45" ht="30" customHeight="1">
      <x:c r="A45" s="9" t="str">
        <x:v>PersonaMem v2 32K</x:v>
      </x:c>
      <x:c r="B45" s="9" t="str">
        <x:v>anti_stereotypical_pref</x:v>
      </x:c>
      <x:c r="C45" s="9" t="str">
        <x:v>MCQ accuracy</x:v>
      </x:c>
      <x:c r="D45" s="11" t="n">
        <x:v>855</x:v>
      </x:c>
      <x:c r="E45" s="12" t="n">
        <x:v>35.906432748538016</x:v>
      </x:c>
      <x:c r="F45" s="11" t="n">
        <x:v>17</x:v>
      </x:c>
      <x:c r="G45" s="12" t="n">
        <x:v>41.17647058823529</x:v>
      </x:c>
      <x:c r="H45" s="12" t="n">
        <x:v>41.17647058823529</x:v>
      </x:c>
      <x:c r="I45" s="12" t="n">
        <x:v>41.17647058823529</x:v>
      </x:c>
      <x:c r="J45" s="12" t="n">
        <x:v>52.94117647058824</x:v>
      </x:c>
    </x:row>
    <x:row r="46" ht="30" customHeight="1">
      <x:c r="A46" s="9" t="str">
        <x:v>PersonaMem v2 32K</x:v>
      </x:c>
      <x:c r="B46" s="9" t="str">
        <x:v>ask_to_forget</x:v>
      </x:c>
      <x:c r="C46" s="9" t="str">
        <x:v>MCQ accuracy</x:v>
      </x:c>
      <x:c r="D46" s="11" t="n">
        <x:v>1048</x:v>
      </x:c>
      <x:c r="E46" s="12" t="n">
        <x:v>76.14503816793892</x:v>
      </x:c>
      <x:c r="F46" s="11" t="n">
        <x:v>21</x:v>
      </x:c>
      <x:c r="G46" s="12" t="n">
        <x:v>71.42857142857143</x:v>
      </x:c>
      <x:c r="H46" s="12" t="n">
        <x:v>80.95238095238095</x:v>
      </x:c>
      <x:c r="I46" s="12" t="n">
        <x:v>80.95238095238095</x:v>
      </x:c>
      <x:c r="J46" s="12" t="n">
        <x:v>66.66666666666666</x:v>
      </x:c>
    </x:row>
    <x:row r="47" ht="30" customHeight="1">
      <x:c r="A47" s="9" t="str">
        <x:v>PersonaMem v2 32K</x:v>
      </x:c>
      <x:c r="B47" s="9" t="str">
        <x:v>health_and_medical_conditions</x:v>
      </x:c>
      <x:c r="C47" s="9" t="str">
        <x:v>MCQ accuracy</x:v>
      </x:c>
      <x:c r="D47" s="11" t="n">
        <x:v>568</x:v>
      </x:c>
      <x:c r="E47" s="12" t="n">
        <x:v>23.239436619718308</x:v>
      </x:c>
      <x:c r="F47" s="11" t="n">
        <x:v>11</x:v>
      </x:c>
      <x:c r="G47" s="12" t="n">
        <x:v>36.36363636363637</x:v>
      </x:c>
      <x:c r="H47" s="12" t="n">
        <x:v>36.36363636363637</x:v>
      </x:c>
      <x:c r="I47" s="12" t="n">
        <x:v>36.36363636363637</x:v>
      </x:c>
      <x:c r="J47" s="12" t="n">
        <x:v>36.36363636363637</x:v>
      </x:c>
    </x:row>
    <x:row r="48" ht="30" customHeight="1">
      <x:c r="A48" s="9" t="str">
        <x:v>PersonaMem v2 32K</x:v>
      </x:c>
      <x:c r="B48" s="9" t="str">
        <x:v>neutral_preferences</x:v>
      </x:c>
      <x:c r="C48" s="9" t="str">
        <x:v>MCQ accuracy</x:v>
      </x:c>
      <x:c r="D48" s="11" t="n">
        <x:v>858</x:v>
      </x:c>
      <x:c r="E48" s="12" t="n">
        <x:v>33.1002331002331</x:v>
      </x:c>
      <x:c r="F48" s="11" t="n">
        <x:v>17</x:v>
      </x:c>
      <x:c r="G48" s="12" t="n">
        <x:v>29.411764705882355</x:v>
      </x:c>
      <x:c r="H48" s="12" t="n">
        <x:v>41.17647058823529</x:v>
      </x:c>
      <x:c r="I48" s="12" t="n">
        <x:v>41.17647058823529</x:v>
      </x:c>
      <x:c r="J48" s="12" t="n">
        <x:v>23.52941176470588</x:v>
      </x:c>
    </x:row>
    <x:row r="49" ht="30" customHeight="1">
      <x:c r="A49" s="9" t="str">
        <x:v>PersonaMem v2 32K</x:v>
      </x:c>
      <x:c r="B49" s="9" t="str">
        <x:v>sensitive_info</x:v>
      </x:c>
      <x:c r="C49" s="9" t="str">
        <x:v>MCQ accuracy</x:v>
      </x:c>
      <x:c r="D49" s="11" t="n">
        <x:v>511</x:v>
      </x:c>
      <x:c r="E49" s="12" t="n">
        <x:v>37.96477495107632</x:v>
      </x:c>
      <x:c r="F49" s="11" t="n">
        <x:v>10</x:v>
      </x:c>
      <x:c r="G49" s="12" t="n">
        <x:v>20</x:v>
      </x:c>
      <x:c r="H49" s="12" t="n">
        <x:v>20</x:v>
      </x:c>
      <x:c r="I49" s="12" t="n">
        <x:v>20</x:v>
      </x:c>
      <x:c r="J49" s="12" t="n">
        <x:v>30</x:v>
      </x:c>
    </x:row>
    <x:row r="50" ht="30" customHeight="1">
      <x:c r="A50" s="9" t="str">
        <x:v>PersonaMem v2 32K</x:v>
      </x:c>
      <x:c r="B50" s="9" t="str">
        <x:v>stereotypical_pref</x:v>
      </x:c>
      <x:c r="C50" s="9" t="str">
        <x:v>MCQ accuracy</x:v>
      </x:c>
      <x:c r="D50" s="11" t="n">
        <x:v>533</x:v>
      </x:c>
      <x:c r="E50" s="12" t="n">
        <x:v>37.89868667917448</x:v>
      </x:c>
      <x:c r="F50" s="11" t="n">
        <x:v>11</x:v>
      </x:c>
      <x:c r="G50" s="12" t="n">
        <x:v>27.27272727272727</x:v>
      </x:c>
      <x:c r="H50" s="12" t="n">
        <x:v>36.36363636363637</x:v>
      </x:c>
      <x:c r="I50" s="12" t="n">
        <x:v>36.36363636363637</x:v>
      </x:c>
      <x:c r="J50" s="12" t="n">
        <x:v>27.27272727272727</x:v>
      </x:c>
    </x:row>
    <x:row r="51" ht="30" customHeight="1">
      <x:c r="A51" s="9" t="str">
        <x:v>PersonaMem v2 32K</x:v>
      </x:c>
      <x:c r="B51" s="9" t="str">
        <x:v>therapy_background</x:v>
      </x:c>
      <x:c r="C51" s="9" t="str">
        <x:v>MCQ accuracy</x:v>
      </x:c>
      <x:c r="D51" s="11" t="n">
        <x:v>627</x:v>
      </x:c>
      <x:c r="E51" s="12" t="n">
        <x:v>52.312599681020735</x:v>
      </x:c>
      <x:c r="F51" s="11" t="n">
        <x:v>13</x:v>
      </x:c>
      <x:c r="G51" s="12" t="n">
        <x:v>69.23076923076923</x:v>
      </x:c>
      <x:c r="H51" s="12" t="n">
        <x:v>69.23076923076923</x:v>
      </x:c>
      <x:c r="I51" s="12" t="n">
        <x:v>69.23076923076923</x:v>
      </x:c>
      <x:c r="J51" s="12" t="n">
        <x:v>53.84615384615385</x:v>
      </x:c>
    </x:row>
    <x:row r="52" ht="30" customHeight="1">
      <x:c r="A52" s="9" t="str">
        <x:v>PersonaMem v2 128K</x:v>
      </x:c>
      <x:c r="B52" s="9" t="str">
        <x:v>anti_stereotypical_pref</x:v>
      </x:c>
      <x:c r="C52" s="9" t="str">
        <x:v>MCQ accuracy</x:v>
      </x:c>
      <x:c r="D52" s="11" t="n">
        <x:v>855</x:v>
      </x:c>
      <x:c r="E52" s="12" t="n">
        <x:v>30.760233918128655</x:v>
      </x:c>
      <x:c r="F52" s="11" t="n">
        <x:v>17</x:v>
      </x:c>
      <x:c r="G52" s="12" t="n">
        <x:v>23.52941176470588</x:v>
      </x:c>
      <x:c r="H52" s="12" t="n">
        <x:v>23.52941176470588</x:v>
      </x:c>
      <x:c r="I52" s="12" t="n">
        <x:v>23.52941176470588</x:v>
      </x:c>
      <x:c r="J52" s="12" t="n">
        <x:v>23.52941176470588</x:v>
      </x:c>
    </x:row>
    <x:row r="53" ht="30" customHeight="1">
      <x:c r="A53" s="9" t="str">
        <x:v>PersonaMem v2 128K</x:v>
      </x:c>
      <x:c r="B53" s="9" t="str">
        <x:v>ask_to_forget</x:v>
      </x:c>
      <x:c r="C53" s="9" t="str">
        <x:v>MCQ accuracy</x:v>
      </x:c>
      <x:c r="D53" s="11" t="n">
        <x:v>1048</x:v>
      </x:c>
      <x:c r="E53" s="12" t="n">
        <x:v>76.04961832061069</x:v>
      </x:c>
      <x:c r="F53" s="11" t="n">
        <x:v>21</x:v>
      </x:c>
      <x:c r="G53" s="12" t="n">
        <x:v>80.95238095238095</x:v>
      </x:c>
      <x:c r="H53" s="12" t="n">
        <x:v>80.95238095238095</x:v>
      </x:c>
      <x:c r="I53" s="12" t="n">
        <x:v>80.95238095238095</x:v>
      </x:c>
      <x:c r="J53" s="12" t="n">
        <x:v>80.95238095238095</x:v>
      </x:c>
    </x:row>
    <x:row r="54" ht="30" customHeight="1">
      <x:c r="A54" s="9" t="str">
        <x:v>PersonaMem v2 128K</x:v>
      </x:c>
      <x:c r="B54" s="9" t="str">
        <x:v>health_and_medical_conditions</x:v>
      </x:c>
      <x:c r="C54" s="9" t="str">
        <x:v>MCQ accuracy</x:v>
      </x:c>
      <x:c r="D54" s="11" t="n">
        <x:v>568</x:v>
      </x:c>
      <x:c r="E54" s="12" t="n">
        <x:v>19.8943661971831</x:v>
      </x:c>
      <x:c r="F54" s="11" t="n">
        <x:v>11</x:v>
      </x:c>
      <x:c r="G54" s="12" t="n">
        <x:v>18.181818181818183</x:v>
      </x:c>
      <x:c r="H54" s="12" t="n">
        <x:v>18.181818181818183</x:v>
      </x:c>
      <x:c r="I54" s="12" t="n">
        <x:v>18.181818181818183</x:v>
      </x:c>
      <x:c r="J54" s="12" t="n">
        <x:v>27.27272727272727</x:v>
      </x:c>
    </x:row>
    <x:row r="55" ht="30" customHeight="1">
      <x:c r="A55" s="9" t="str">
        <x:v>PersonaMem v2 128K</x:v>
      </x:c>
      <x:c r="B55" s="9" t="str">
        <x:v>neutral_preferences</x:v>
      </x:c>
      <x:c r="C55" s="9" t="str">
        <x:v>MCQ accuracy</x:v>
      </x:c>
      <x:c r="D55" s="11" t="n">
        <x:v>858</x:v>
      </x:c>
      <x:c r="E55" s="12" t="n">
        <x:v>30.186480186480185</x:v>
      </x:c>
      <x:c r="F55" s="11" t="n">
        <x:v>17</x:v>
      </x:c>
      <x:c r="G55" s="12" t="n">
        <x:v>23.52941176470588</x:v>
      </x:c>
      <x:c r="H55" s="12" t="n">
        <x:v>23.52941176470588</x:v>
      </x:c>
      <x:c r="I55" s="12" t="n">
        <x:v>23.52941176470588</x:v>
      </x:c>
      <x:c r="J55" s="12" t="n">
        <x:v>17.647058823529413</x:v>
      </x:c>
    </x:row>
    <x:row r="56" ht="30" customHeight="1">
      <x:c r="A56" s="9" t="str">
        <x:v>PersonaMem v2 128K</x:v>
      </x:c>
      <x:c r="B56" s="9" t="str">
        <x:v>sensitive_info</x:v>
      </x:c>
      <x:c r="C56" s="9" t="str">
        <x:v>MCQ accuracy</x:v>
      </x:c>
      <x:c r="D56" s="11" t="n">
        <x:v>511</x:v>
      </x:c>
      <x:c r="E56" s="12" t="n">
        <x:v>36.79060665362035</x:v>
      </x:c>
      <x:c r="F56" s="11" t="n">
        <x:v>10</x:v>
      </x:c>
      <x:c r="G56" s="12" t="n">
        <x:v>30</x:v>
      </x:c>
      <x:c r="H56" s="12" t="n">
        <x:v>20</x:v>
      </x:c>
      <x:c r="I56" s="12" t="n">
        <x:v>20</x:v>
      </x:c>
      <x:c r="J56" s="12" t="n">
        <x:v>40</x:v>
      </x:c>
    </x:row>
    <x:row r="57" ht="30" customHeight="1">
      <x:c r="A57" s="9" t="str">
        <x:v>PersonaMem v2 128K</x:v>
      </x:c>
      <x:c r="B57" s="9" t="str">
        <x:v>stereotypical_pref</x:v>
      </x:c>
      <x:c r="C57" s="9" t="str">
        <x:v>MCQ accuracy</x:v>
      </x:c>
      <x:c r="D57" s="11" t="n">
        <x:v>533</x:v>
      </x:c>
      <x:c r="E57" s="12" t="n">
        <x:v>32.833020637898684</x:v>
      </x:c>
      <x:c r="F57" s="11" t="n">
        <x:v>11</x:v>
      </x:c>
      <x:c r="G57" s="12" t="n">
        <x:v>45.45454545454545</x:v>
      </x:c>
      <x:c r="H57" s="12" t="n">
        <x:v>36.36363636363637</x:v>
      </x:c>
      <x:c r="I57" s="12" t="n">
        <x:v>36.36363636363637</x:v>
      </x:c>
      <x:c r="J57" s="12" t="n">
        <x:v>27.27272727272727</x:v>
      </x:c>
    </x:row>
    <x:row r="58" ht="30" customHeight="1">
      <x:c r="A58" s="9" t="str">
        <x:v>PersonaMem v2 128K</x:v>
      </x:c>
      <x:c r="B58" s="9" t="str">
        <x:v>therapy_background</x:v>
      </x:c>
      <x:c r="C58" s="9" t="str">
        <x:v>MCQ accuracy</x:v>
      </x:c>
      <x:c r="D58" s="11" t="n">
        <x:v>627</x:v>
      </x:c>
      <x:c r="E58" s="12" t="n">
        <x:v>48.963317384370015</x:v>
      </x:c>
      <x:c r="F58" s="11" t="n">
        <x:v>13</x:v>
      </x:c>
      <x:c r="G58" s="12" t="n">
        <x:v>46.15384615384615</x:v>
      </x:c>
      <x:c r="H58" s="12" t="n">
        <x:v>53.84615384615385</x:v>
      </x:c>
      <x:c r="I58" s="12" t="n">
        <x:v>46.15384615384615</x:v>
      </x:c>
      <x:c r="J58" s="12" t="n">
        <x:v>61.53846153846154</x:v>
      </x:c>
    </x:row>
    <x:row r="59" ht="30" customHeight="1">
      <x:c r="A59" s="9" t="str">
        <x:v>BEAM 100K</x:v>
      </x:c>
      <x:c r="B59" s="9" t="str">
        <x:v>abstention</x:v>
      </x:c>
      <x:c r="C59" s="9" t="str">
        <x:v>Rubric mean</x:v>
      </x:c>
      <x:c r="D59" s="11" t="n">
        <x:v>40</x:v>
      </x:c>
      <x:c r="E59" s="12" t="n">
        <x:v>85</x:v>
      </x:c>
      <x:c r="F59" s="11" t="n">
        <x:v>10</x:v>
      </x:c>
      <x:c r="G59" s="12" t="n">
        <x:v>60</x:v>
      </x:c>
      <x:c r="H59" s="12" t="n">
        <x:v>60</x:v>
      </x:c>
      <x:c r="I59" s="12" t="n">
        <x:v>60</x:v>
      </x:c>
      <x:c r="J59" s="12" t="n">
        <x:v>70</x:v>
      </x:c>
    </x:row>
    <x:row r="60" ht="30" customHeight="1">
      <x:c r="A60" s="9" t="str">
        <x:v>BEAM 100K</x:v>
      </x:c>
      <x:c r="B60" s="9" t="str">
        <x:v>contradiction_resolution</x:v>
      </x:c>
      <x:c r="C60" s="9" t="str">
        <x:v>Rubric mean</x:v>
      </x:c>
      <x:c r="D60" s="11" t="n">
        <x:v>40</x:v>
      </x:c>
      <x:c r="E60" s="12" t="n">
        <x:v>25.937500000000004</x:v>
      </x:c>
      <x:c r="F60" s="11" t="n">
        <x:v>10</x:v>
      </x:c>
      <x:c r="G60" s="12" t="n">
        <x:v>28.749999999999996</x:v>
      </x:c>
      <x:c r="H60" s="12" t="n">
        <x:v>21.25</x:v>
      </x:c>
      <x:c r="I60" s="12" t="n">
        <x:v>22.5</x:v>
      </x:c>
      <x:c r="J60" s="12" t="n">
        <x:v>20</x:v>
      </x:c>
    </x:row>
    <x:row r="61" ht="30" customHeight="1">
      <x:c r="A61" s="9" t="str">
        <x:v>BEAM 100K</x:v>
      </x:c>
      <x:c r="B61" s="9" t="str">
        <x:v>event_ordering</x:v>
      </x:c>
      <x:c r="C61" s="9" t="str">
        <x:v>Rubric mean</x:v>
      </x:c>
      <x:c r="D61" s="11" t="n">
        <x:v>40</x:v>
      </x:c>
      <x:c r="E61" s="12" t="n">
        <x:v>2.7738095238095237</x:v>
      </x:c>
      <x:c r="F61" s="11" t="n">
        <x:v>10</x:v>
      </x:c>
      <x:c r="G61" s="12" t="n">
        <x:v>0</x:v>
      </x:c>
      <x:c r="H61" s="12" t="n">
        <x:v>2</x:v>
      </x:c>
      <x:c r="I61" s="12" t="n">
        <x:v>2</x:v>
      </x:c>
      <x:c r="J61" s="12" t="n">
        <x:v>2.5</x:v>
      </x:c>
    </x:row>
    <x:row r="62" ht="30" customHeight="1">
      <x:c r="A62" s="9" t="str">
        <x:v>BEAM 100K</x:v>
      </x:c>
      <x:c r="B62" s="9" t="str">
        <x:v>information_extraction</x:v>
      </x:c>
      <x:c r="C62" s="9" t="str">
        <x:v>Rubric mean</x:v>
      </x:c>
      <x:c r="D62" s="11" t="n">
        <x:v>40</x:v>
      </x:c>
      <x:c r="E62" s="12" t="n">
        <x:v>50.208333333333336</x:v>
      </x:c>
      <x:c r="F62" s="11" t="n">
        <x:v>10</x:v>
      </x:c>
      <x:c r="G62" s="12" t="n">
        <x:v>44.166666666666664</x:v>
      </x:c>
      <x:c r="H62" s="12" t="n">
        <x:v>44.166666666666664</x:v>
      </x:c>
      <x:c r="I62" s="12" t="n">
        <x:v>44.166666666666664</x:v>
      </x:c>
      <x:c r="J62" s="12" t="n">
        <x:v>46.666666666666664</x:v>
      </x:c>
    </x:row>
    <x:row r="63" ht="30" customHeight="1">
      <x:c r="A63" s="9" t="str">
        <x:v>BEAM 100K</x:v>
      </x:c>
      <x:c r="B63" s="9" t="str">
        <x:v>instruction_following</x:v>
      </x:c>
      <x:c r="C63" s="9" t="str">
        <x:v>Rubric mean</x:v>
      </x:c>
      <x:c r="D63" s="11" t="n">
        <x:v>40</x:v>
      </x:c>
      <x:c r="E63" s="12" t="n">
        <x:v>28.749999999999996</x:v>
      </x:c>
      <x:c r="F63" s="11" t="n">
        <x:v>10</x:v>
      </x:c>
      <x:c r="G63" s="12" t="n">
        <x:v>35</x:v>
      </x:c>
      <x:c r="H63" s="12" t="n">
        <x:v>45</x:v>
      </x:c>
      <x:c r="I63" s="12" t="n">
        <x:v>35</x:v>
      </x:c>
      <x:c r="J63" s="12" t="n">
        <x:v>32.5</x:v>
      </x:c>
    </x:row>
    <x:row r="64" ht="30" customHeight="1">
      <x:c r="A64" s="9" t="str">
        <x:v>BEAM 100K</x:v>
      </x:c>
      <x:c r="B64" s="9" t="str">
        <x:v>knowledge_update</x:v>
      </x:c>
      <x:c r="C64" s="9" t="str">
        <x:v>Rubric mean</x:v>
      </x:c>
      <x:c r="D64" s="11" t="n">
        <x:v>40</x:v>
      </x:c>
      <x:c r="E64" s="12" t="n">
        <x:v>52.5</x:v>
      </x:c>
      <x:c r="F64" s="11" t="n">
        <x:v>10</x:v>
      </x:c>
      <x:c r="G64" s="12" t="n">
        <x:v>90</x:v>
      </x:c>
      <x:c r="H64" s="12" t="n">
        <x:v>80</x:v>
      </x:c>
      <x:c r="I64" s="12" t="n">
        <x:v>85</x:v>
      </x:c>
      <x:c r="J64" s="12" t="n">
        <x:v>80</x:v>
      </x:c>
    </x:row>
    <x:row r="65" ht="30" customHeight="1">
      <x:c r="A65" s="9" t="str">
        <x:v>BEAM 100K</x:v>
      </x:c>
      <x:c r="B65" s="9" t="str">
        <x:v>multi_session_reasoning</x:v>
      </x:c>
      <x:c r="C65" s="9" t="str">
        <x:v>Rubric mean</x:v>
      </x:c>
      <x:c r="D65" s="11" t="n">
        <x:v>40</x:v>
      </x:c>
      <x:c r="E65" s="12" t="n">
        <x:v>30.333333333333336</x:v>
      </x:c>
      <x:c r="F65" s="11" t="n">
        <x:v>10</x:v>
      </x:c>
      <x:c r="G65" s="12" t="n">
        <x:v>50</x:v>
      </x:c>
      <x:c r="H65" s="12" t="n">
        <x:v>50</x:v>
      </x:c>
      <x:c r="I65" s="12" t="n">
        <x:v>40</x:v>
      </x:c>
      <x:c r="J65" s="12" t="n">
        <x:v>30</x:v>
      </x:c>
    </x:row>
    <x:row r="66" ht="30" customHeight="1">
      <x:c r="A66" s="9" t="str">
        <x:v>BEAM 100K</x:v>
      </x:c>
      <x:c r="B66" s="9" t="str">
        <x:v>preference_following</x:v>
      </x:c>
      <x:c r="C66" s="9" t="str">
        <x:v>Rubric mean</x:v>
      </x:c>
      <x:c r="D66" s="11" t="n">
        <x:v>40</x:v>
      </x:c>
      <x:c r="E66" s="12" t="n">
        <x:v>50.83333333333333</x:v>
      </x:c>
      <x:c r="F66" s="11" t="n">
        <x:v>10</x:v>
      </x:c>
      <x:c r="G66" s="12" t="n">
        <x:v>65.83333333333333</x:v>
      </x:c>
      <x:c r="H66" s="12" t="n">
        <x:v>65.83333333333333</x:v>
      </x:c>
      <x:c r="I66" s="12" t="n">
        <x:v>65.83333333333333</x:v>
      </x:c>
      <x:c r="J66" s="12" t="n">
        <x:v>80.83333333333333</x:v>
      </x:c>
    </x:row>
    <x:row r="67" ht="30" customHeight="1">
      <x:c r="A67" s="9" t="str">
        <x:v>BEAM 100K</x:v>
      </x:c>
      <x:c r="B67" s="9" t="str">
        <x:v>summarization</x:v>
      </x:c>
      <x:c r="C67" s="9" t="str">
        <x:v>Rubric mean</x:v>
      </x:c>
      <x:c r="D67" s="11" t="n">
        <x:v>40</x:v>
      </x:c>
      <x:c r="E67" s="12" t="n">
        <x:v>1.4270833333333333</x:v>
      </x:c>
      <x:c r="F67" s="11" t="n">
        <x:v>10</x:v>
      </x:c>
      <x:c r="G67" s="12" t="n">
        <x:v>1.4583333333333333</x:v>
      </x:c>
      <x:c r="H67" s="12" t="n">
        <x:v>1.4583333333333333</x:v>
      </x:c>
      <x:c r="I67" s="12" t="n">
        <x:v>1.4583333333333333</x:v>
      </x:c>
      <x:c r="J67" s="12" t="n">
        <x:v>3.5000000000000004</x:v>
      </x:c>
    </x:row>
    <x:row r="68" ht="30" customHeight="1">
      <x:c r="A68" s="9" t="str">
        <x:v>BEAM 100K</x:v>
      </x:c>
      <x:c r="B68" s="9" t="str">
        <x:v>temporal_reasoning</x:v>
      </x:c>
      <x:c r="C68" s="9" t="str">
        <x:v>Rubric mean</x:v>
      </x:c>
      <x:c r="D68" s="11" t="n">
        <x:v>40</x:v>
      </x:c>
      <x:c r="E68" s="12" t="n">
        <x:v>36.25</x:v>
      </x:c>
      <x:c r="F68" s="11" t="n">
        <x:v>10</x:v>
      </x:c>
      <x:c r="G68" s="12" t="n">
        <x:v>15</x:v>
      </x:c>
      <x:c r="H68" s="12" t="n">
        <x:v>10</x:v>
      </x:c>
      <x:c r="I68" s="12" t="n">
        <x:v>15</x:v>
      </x:c>
      <x:c r="J68" s="12" t="n">
        <x:v>15</x:v>
      </x:c>
    </x:row>
    <x:row r="69" ht="30" customHeight="1">
      <x:c r="A69" s="9" t="str">
        <x:v>BEAM 500K</x:v>
      </x:c>
      <x:c r="B69" s="9" t="str">
        <x:v>abstention</x:v>
      </x:c>
      <x:c r="C69" s="9" t="str">
        <x:v>Rubric mean</x:v>
      </x:c>
      <x:c r="D69" s="11" t="n">
        <x:v>70</x:v>
      </x:c>
      <x:c r="E69" s="12" t="n">
        <x:v>77.14285714285715</x:v>
      </x:c>
      <x:c r="F69" s="11" t="n">
        <x:v>10</x:v>
      </x:c>
      <x:c r="G69" s="12" t="n">
        <x:v>70</x:v>
      </x:c>
      <x:c r="H69" s="12" t="n">
        <x:v>70</x:v>
      </x:c>
      <x:c r="I69" s="12" t="n">
        <x:v>70</x:v>
      </x:c>
      <x:c r="J69" s="12" t="n">
        <x:v>60</x:v>
      </x:c>
    </x:row>
    <x:row r="70" ht="30" customHeight="1">
      <x:c r="A70" s="9" t="str">
        <x:v>BEAM 500K</x:v>
      </x:c>
      <x:c r="B70" s="9" t="str">
        <x:v>contradiction_resolution</x:v>
      </x:c>
      <x:c r="C70" s="9" t="str">
        <x:v>Rubric mean</x:v>
      </x:c>
      <x:c r="D70" s="11" t="n">
        <x:v>70</x:v>
      </x:c>
      <x:c r="E70" s="12" t="n">
        <x:v>20.714285714285715</x:v>
      </x:c>
      <x:c r="F70" s="11" t="n">
        <x:v>10</x:v>
      </x:c>
      <x:c r="G70" s="12" t="n">
        <x:v>22.5</x:v>
      </x:c>
      <x:c r="H70" s="12" t="n">
        <x:v>20</x:v>
      </x:c>
      <x:c r="I70" s="12" t="n">
        <x:v>10</x:v>
      </x:c>
      <x:c r="J70" s="12" t="n">
        <x:v>27.500000000000004</x:v>
      </x:c>
    </x:row>
    <x:row r="71" ht="30" customHeight="1">
      <x:c r="A71" s="9" t="str">
        <x:v>BEAM 500K</x:v>
      </x:c>
      <x:c r="B71" s="9" t="str">
        <x:v>event_ordering</x:v>
      </x:c>
      <x:c r="C71" s="9" t="str">
        <x:v>Rubric mean</x:v>
      </x:c>
      <x:c r="D71" s="11" t="n">
        <x:v>70</x:v>
      </x:c>
      <x:c r="E71" s="12" t="n">
        <x:v>0.8392857142857143</x:v>
      </x:c>
      <x:c r="F71" s="11" t="n">
        <x:v>10</x:v>
      </x:c>
      <x:c r="G71" s="12" t="n">
        <x:v>0</x:v>
      </x:c>
      <x:c r="H71" s="12" t="n">
        <x:v>0</x:v>
      </x:c>
      <x:c r="I71" s="12" t="n">
        <x:v>0</x:v>
      </x:c>
      <x:c r="J71" s="12" t="n">
        <x:v>0</x:v>
      </x:c>
    </x:row>
    <x:row r="72" ht="30" customHeight="1">
      <x:c r="A72" s="9" t="str">
        <x:v>BEAM 500K</x:v>
      </x:c>
      <x:c r="B72" s="9" t="str">
        <x:v>information_extraction</x:v>
      </x:c>
      <x:c r="C72" s="9" t="str">
        <x:v>Rubric mean</x:v>
      </x:c>
      <x:c r="D72" s="11" t="n">
        <x:v>70</x:v>
      </x:c>
      <x:c r="E72" s="12" t="n">
        <x:v>48.69047619047619</x:v>
      </x:c>
      <x:c r="F72" s="11" t="n">
        <x:v>10</x:v>
      </x:c>
      <x:c r="G72" s="12" t="n">
        <x:v>25</x:v>
      </x:c>
      <x:c r="H72" s="12" t="n">
        <x:v>25</x:v>
      </x:c>
      <x:c r="I72" s="12" t="n">
        <x:v>25</x:v>
      </x:c>
      <x:c r="J72" s="12" t="n">
        <x:v>16.25</x:v>
      </x:c>
    </x:row>
    <x:row r="73" ht="30" customHeight="1">
      <x:c r="A73" s="9" t="str">
        <x:v>BEAM 500K</x:v>
      </x:c>
      <x:c r="B73" s="9" t="str">
        <x:v>instruction_following</x:v>
      </x:c>
      <x:c r="C73" s="9" t="str">
        <x:v>Rubric mean</x:v>
      </x:c>
      <x:c r="D73" s="11" t="n">
        <x:v>70</x:v>
      </x:c>
      <x:c r="E73" s="12" t="n">
        <x:v>23.809523809523807</x:v>
      </x:c>
      <x:c r="F73" s="11" t="n">
        <x:v>10</x:v>
      </x:c>
      <x:c r="G73" s="12" t="n">
        <x:v>27.500000000000004</x:v>
      </x:c>
      <x:c r="H73" s="12" t="n">
        <x:v>17.5</x:v>
      </x:c>
      <x:c r="I73" s="12" t="n">
        <x:v>17.5</x:v>
      </x:c>
      <x:c r="J73" s="12" t="n">
        <x:v>12.5</x:v>
      </x:c>
    </x:row>
    <x:row r="74" ht="30" customHeight="1">
      <x:c r="A74" s="9" t="str">
        <x:v>BEAM 500K</x:v>
      </x:c>
      <x:c r="B74" s="9" t="str">
        <x:v>knowledge_update</x:v>
      </x:c>
      <x:c r="C74" s="9" t="str">
        <x:v>Rubric mean</x:v>
      </x:c>
      <x:c r="D74" s="11" t="n">
        <x:v>70</x:v>
      </x:c>
      <x:c r="E74" s="12" t="n">
        <x:v>40.23809523809524</x:v>
      </x:c>
      <x:c r="F74" s="11" t="n">
        <x:v>10</x:v>
      </x:c>
      <x:c r="G74" s="12" t="n">
        <x:v>30</x:v>
      </x:c>
      <x:c r="H74" s="12" t="n">
        <x:v>40</x:v>
      </x:c>
      <x:c r="I74" s="12" t="n">
        <x:v>40</x:v>
      </x:c>
      <x:c r="J74" s="12" t="n">
        <x:v>50</x:v>
      </x:c>
    </x:row>
    <x:row r="75" ht="30" customHeight="1">
      <x:c r="A75" s="9" t="str">
        <x:v>BEAM 500K</x:v>
      </x:c>
      <x:c r="B75" s="9" t="str">
        <x:v>multi_session_reasoning</x:v>
      </x:c>
      <x:c r="C75" s="9" t="str">
        <x:v>Rubric mean</x:v>
      </x:c>
      <x:c r="D75" s="11" t="n">
        <x:v>70</x:v>
      </x:c>
      <x:c r="E75" s="12" t="n">
        <x:v>27.67857142857143</x:v>
      </x:c>
      <x:c r="F75" s="11" t="n">
        <x:v>10</x:v>
      </x:c>
      <x:c r="G75" s="12" t="n">
        <x:v>11.666666666666666</x:v>
      </x:c>
      <x:c r="H75" s="12" t="n">
        <x:v>3.3333333333333335</x:v>
      </x:c>
      <x:c r="I75" s="12" t="n">
        <x:v>11.666666666666666</x:v>
      </x:c>
      <x:c r="J75" s="12" t="n">
        <x:v>15</x:v>
      </x:c>
    </x:row>
    <x:row r="76" ht="30" customHeight="1">
      <x:c r="A76" s="9" t="str">
        <x:v>BEAM 500K</x:v>
      </x:c>
      <x:c r="B76" s="9" t="str">
        <x:v>preference_following</x:v>
      </x:c>
      <x:c r="C76" s="9" t="str">
        <x:v>Rubric mean</x:v>
      </x:c>
      <x:c r="D76" s="11" t="n">
        <x:v>70</x:v>
      </x:c>
      <x:c r="E76" s="12" t="n">
        <x:v>40.05952380952381</x:v>
      </x:c>
      <x:c r="F76" s="11" t="n">
        <x:v>10</x:v>
      </x:c>
      <x:c r="G76" s="12" t="n">
        <x:v>30</x:v>
      </x:c>
      <x:c r="H76" s="12" t="n">
        <x:v>26.666666666666668</x:v>
      </x:c>
      <x:c r="I76" s="12" t="n">
        <x:v>17.083333333333332</x:v>
      </x:c>
      <x:c r="J76" s="12" t="n">
        <x:v>21.666666666666668</x:v>
      </x:c>
    </x:row>
    <x:row r="77" ht="30" customHeight="1">
      <x:c r="A77" s="9" t="str">
        <x:v>BEAM 500K</x:v>
      </x:c>
      <x:c r="B77" s="9" t="str">
        <x:v>summarization</x:v>
      </x:c>
      <x:c r="C77" s="9" t="str">
        <x:v>Rubric mean</x:v>
      </x:c>
      <x:c r="D77" s="11" t="n">
        <x:v>70</x:v>
      </x:c>
      <x:c r="E77" s="12" t="n">
        <x:v>6.18079539508111</x:v>
      </x:c>
      <x:c r="F77" s="11" t="n">
        <x:v>10</x:v>
      </x:c>
      <x:c r="G77" s="12" t="n">
        <x:v>1</x:v>
      </x:c>
      <x:c r="H77" s="12" t="n">
        <x:v>4.625</x:v>
      </x:c>
      <x:c r="I77" s="12" t="n">
        <x:v>0</x:v>
      </x:c>
      <x:c r="J77" s="12" t="n">
        <x:v>6</x:v>
      </x:c>
    </x:row>
    <x:row r="78" ht="30" customHeight="1">
      <x:c r="A78" s="9" t="str">
        <x:v>BEAM 500K</x:v>
      </x:c>
      <x:c r="B78" s="9" t="str">
        <x:v>temporal_reasoning</x:v>
      </x:c>
      <x:c r="C78" s="9" t="str">
        <x:v>Rubric mean</x:v>
      </x:c>
      <x:c r="D78" s="11" t="n">
        <x:v>70</x:v>
      </x:c>
      <x:c r="E78" s="12" t="n">
        <x:v>26.42857142857143</x:v>
      </x:c>
      <x:c r="F78" s="11" t="n">
        <x:v>10</x:v>
      </x:c>
      <x:c r="G78" s="12" t="n">
        <x:v>50</x:v>
      </x:c>
      <x:c r="H78" s="12" t="n">
        <x:v>40</x:v>
      </x:c>
      <x:c r="I78" s="12" t="n">
        <x:v>50</x:v>
      </x:c>
      <x:c r="J78" s="12" t="n">
        <x:v>65</x:v>
      </x:c>
    </x:row>
    <x:row r="79" ht="30" customHeight="1">
      <x:c r="A79" s="9" t="str">
        <x:v>BEAM 1M</x:v>
      </x:c>
      <x:c r="B79" s="9" t="str">
        <x:v>abstention</x:v>
      </x:c>
      <x:c r="C79" s="9" t="str">
        <x:v>Rubric mean</x:v>
      </x:c>
      <x:c r="D79" s="11" t="n">
        <x:v>70</x:v>
      </x:c>
      <x:c r="E79" s="12" t="n">
        <x:v>82.14285714285714</x:v>
      </x:c>
      <x:c r="F79" s="11" t="n">
        <x:v>10</x:v>
      </x:c>
      <x:c r="G79" s="12" t="n">
        <x:v>70</x:v>
      </x:c>
      <x:c r="H79" s="12" t="n">
        <x:v>70</x:v>
      </x:c>
      <x:c r="I79" s="12" t="n">
        <x:v>70</x:v>
      </x:c>
      <x:c r="J79" s="12" t="n">
        <x:v>70</x:v>
      </x:c>
    </x:row>
    <x:row r="80" ht="30" customHeight="1">
      <x:c r="A80" s="9" t="str">
        <x:v>BEAM 1M</x:v>
      </x:c>
      <x:c r="B80" s="9" t="str">
        <x:v>contradiction_resolution</x:v>
      </x:c>
      <x:c r="C80" s="9" t="str">
        <x:v>Rubric mean</x:v>
      </x:c>
      <x:c r="D80" s="11" t="n">
        <x:v>70</x:v>
      </x:c>
      <x:c r="E80" s="12" t="n">
        <x:v>20</x:v>
      </x:c>
      <x:c r="F80" s="11" t="n">
        <x:v>10</x:v>
      </x:c>
      <x:c r="G80" s="12" t="n">
        <x:v>20</x:v>
      </x:c>
      <x:c r="H80" s="12" t="n">
        <x:v>13.750000000000002</x:v>
      </x:c>
      <x:c r="I80" s="12" t="n">
        <x:v>18.75</x:v>
      </x:c>
      <x:c r="J80" s="12" t="n">
        <x:v>18.75</x:v>
      </x:c>
    </x:row>
    <x:row r="81" ht="30" customHeight="1">
      <x:c r="A81" s="9" t="str">
        <x:v>BEAM 1M</x:v>
      </x:c>
      <x:c r="B81" s="9" t="str">
        <x:v>event_ordering</x:v>
      </x:c>
      <x:c r="C81" s="9" t="str">
        <x:v>Rubric mean</x:v>
      </x:c>
      <x:c r="D81" s="11" t="n">
        <x:v>70</x:v>
      </x:c>
      <x:c r="E81" s="12" t="n">
        <x:v>1.1196660482374767</x:v>
      </x:c>
      <x:c r="F81" s="11" t="n">
        <x:v>10</x:v>
      </x:c>
      <x:c r="G81" s="12" t="n">
        <x:v>0</x:v>
      </x:c>
      <x:c r="H81" s="12" t="n">
        <x:v>1.111111111111111</x:v>
      </x:c>
      <x:c r="I81" s="12" t="n">
        <x:v>0</x:v>
      </x:c>
      <x:c r="J81" s="12" t="n">
        <x:v>1</x:v>
      </x:c>
    </x:row>
    <x:row r="82" ht="30" customHeight="1">
      <x:c r="A82" s="9" t="str">
        <x:v>BEAM 1M</x:v>
      </x:c>
      <x:c r="B82" s="9" t="str">
        <x:v>information_extraction</x:v>
      </x:c>
      <x:c r="C82" s="9" t="str">
        <x:v>Rubric mean</x:v>
      </x:c>
      <x:c r="D82" s="11" t="n">
        <x:v>70</x:v>
      </x:c>
      <x:c r="E82" s="12" t="n">
        <x:v>39.523809523809526</x:v>
      </x:c>
      <x:c r="F82" s="11" t="n">
        <x:v>10</x:v>
      </x:c>
      <x:c r="G82" s="12" t="n">
        <x:v>15</x:v>
      </x:c>
      <x:c r="H82" s="12" t="n">
        <x:v>15</x:v>
      </x:c>
      <x:c r="I82" s="12" t="n">
        <x:v>15</x:v>
      </x:c>
      <x:c r="J82" s="12" t="n">
        <x:v>20</x:v>
      </x:c>
    </x:row>
    <x:row r="83" ht="30" customHeight="1">
      <x:c r="A83" s="9" t="str">
        <x:v>BEAM 1M</x:v>
      </x:c>
      <x:c r="B83" s="9" t="str">
        <x:v>instruction_following</x:v>
      </x:c>
      <x:c r="C83" s="9" t="str">
        <x:v>Rubric mean</x:v>
      </x:c>
      <x:c r="D83" s="11" t="n">
        <x:v>70</x:v>
      </x:c>
      <x:c r="E83" s="12" t="n">
        <x:v>25.476190476190474</x:v>
      </x:c>
      <x:c r="F83" s="11" t="n">
        <x:v>10</x:v>
      </x:c>
      <x:c r="G83" s="12" t="n">
        <x:v>11.666666666666666</x:v>
      </x:c>
      <x:c r="H83" s="12" t="n">
        <x:v>31.666666666666664</x:v>
      </x:c>
      <x:c r="I83" s="12" t="n">
        <x:v>35.833333333333336</x:v>
      </x:c>
      <x:c r="J83" s="12" t="n">
        <x:v>32.5</x:v>
      </x:c>
    </x:row>
    <x:row r="84" ht="30" customHeight="1">
      <x:c r="A84" s="9" t="str">
        <x:v>BEAM 1M</x:v>
      </x:c>
      <x:c r="B84" s="9" t="str">
        <x:v>knowledge_update</x:v>
      </x:c>
      <x:c r="C84" s="9" t="str">
        <x:v>Rubric mean</x:v>
      </x:c>
      <x:c r="D84" s="11" t="n">
        <x:v>70</x:v>
      </x:c>
      <x:c r="E84" s="12" t="n">
        <x:v>47.85714285714286</x:v>
      </x:c>
      <x:c r="F84" s="11" t="n">
        <x:v>10</x:v>
      </x:c>
      <x:c r="G84" s="12" t="n">
        <x:v>55.00000000000001</x:v>
      </x:c>
      <x:c r="H84" s="12" t="n">
        <x:v>50</x:v>
      </x:c>
      <x:c r="I84" s="12" t="n">
        <x:v>40</x:v>
      </x:c>
      <x:c r="J84" s="12" t="n">
        <x:v>55.00000000000001</x:v>
      </x:c>
    </x:row>
    <x:row r="85" ht="30" customHeight="1">
      <x:c r="A85" s="9" t="str">
        <x:v>BEAM 1M</x:v>
      </x:c>
      <x:c r="B85" s="9" t="str">
        <x:v>multi_session_reasoning</x:v>
      </x:c>
      <x:c r="C85" s="9" t="str">
        <x:v>Rubric mean</x:v>
      </x:c>
      <x:c r="D85" s="11" t="n">
        <x:v>70</x:v>
      </x:c>
      <x:c r="E85" s="12" t="n">
        <x:v>25.035714285714285</x:v>
      </x:c>
      <x:c r="F85" s="11" t="n">
        <x:v>10</x:v>
      </x:c>
      <x:c r="G85" s="12" t="n">
        <x:v>33.33333333333333</x:v>
      </x:c>
      <x:c r="H85" s="12" t="n">
        <x:v>33.33333333333333</x:v>
      </x:c>
      <x:c r="I85" s="12" t="n">
        <x:v>30</x:v>
      </x:c>
      <x:c r="J85" s="12" t="n">
        <x:v>33.33333333333333</x:v>
      </x:c>
    </x:row>
    <x:row r="86" ht="30" customHeight="1">
      <x:c r="A86" s="9" t="str">
        <x:v>BEAM 1M</x:v>
      </x:c>
      <x:c r="B86" s="9" t="str">
        <x:v>preference_following</x:v>
      </x:c>
      <x:c r="C86" s="9" t="str">
        <x:v>Rubric mean</x:v>
      </x:c>
      <x:c r="D86" s="11" t="n">
        <x:v>70</x:v>
      </x:c>
      <x:c r="E86" s="12" t="n">
        <x:v>51.24999999999999</x:v>
      </x:c>
      <x:c r="F86" s="11" t="n">
        <x:v>10</x:v>
      </x:c>
      <x:c r="G86" s="12" t="n">
        <x:v>41.66666666666667</x:v>
      </x:c>
      <x:c r="H86" s="12" t="n">
        <x:v>38.33333333333333</x:v>
      </x:c>
      <x:c r="I86" s="12" t="n">
        <x:v>46.666666666666664</x:v>
      </x:c>
      <x:c r="J86" s="12" t="n">
        <x:v>41.66666666666667</x:v>
      </x:c>
    </x:row>
    <x:row r="87" ht="30" customHeight="1">
      <x:c r="A87" s="9" t="str">
        <x:v>BEAM 1M</x:v>
      </x:c>
      <x:c r="B87" s="9" t="str">
        <x:v>summarization</x:v>
      </x:c>
      <x:c r="C87" s="9" t="str">
        <x:v>Rubric mean</x:v>
      </x:c>
      <x:c r="D87" s="11" t="n">
        <x:v>70</x:v>
      </x:c>
      <x:c r="E87" s="12" t="n">
        <x:v>2.0133219954648522</x:v>
      </x:c>
      <x:c r="F87" s="11" t="n">
        <x:v>10</x:v>
      </x:c>
      <x:c r="G87" s="12" t="n">
        <x:v>0</x:v>
      </x:c>
      <x:c r="H87" s="12" t="n">
        <x:v>0</x:v>
      </x:c>
      <x:c r="I87" s="12" t="n">
        <x:v>2</x:v>
      </x:c>
      <x:c r="J87" s="12" t="n">
        <x:v>0</x:v>
      </x:c>
    </x:row>
    <x:row r="88" ht="30" customHeight="1">
      <x:c r="A88" s="9" t="str">
        <x:v>BEAM 1M</x:v>
      </x:c>
      <x:c r="B88" s="9" t="str">
        <x:v>temporal_reasoning</x:v>
      </x:c>
      <x:c r="C88" s="9" t="str">
        <x:v>Rubric mean</x:v>
      </x:c>
      <x:c r="D88" s="11" t="n">
        <x:v>70</x:v>
      </x:c>
      <x:c r="E88" s="12" t="n">
        <x:v>22.5</x:v>
      </x:c>
      <x:c r="F88" s="11" t="n">
        <x:v>10</x:v>
      </x:c>
      <x:c r="G88" s="12" t="n">
        <x:v>20</x:v>
      </x:c>
      <x:c r="H88" s="12" t="n">
        <x:v>22.5</x:v>
      </x:c>
      <x:c r="I88" s="12" t="n">
        <x:v>22.5</x:v>
      </x:c>
      <x:c r="J88" s="12" t="n">
        <x:v>17.5</x:v>
      </x:c>
    </x:row>
  </x:sheetData>
  <x:mergeCells>
    <x:mergeCell ref="A2:J3"/>
  </x:mergeCells>
  <x:pageMargins left="0.7" right="0.7" top="0.75" bottom="0.75" header="0.3" footer="0.3"/>
  <x:tableParts count="1">
    <x:tablePart xmlns:r="http://schemas.openxmlformats.org/officeDocument/2006/relationships" r:id="Ra0838ed74172494d"/>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2" hidden="0" customWidth="1"/>
    <x:col min="3" max="3" width="14" hidden="0" customWidth="1"/>
    <x:col min="4" max="4" width="14" hidden="0" customWidth="1"/>
    <x:col min="5" max="5" width="14" hidden="0" customWidth="1"/>
    <x:col min="6" max="6" width="14" hidden="0" customWidth="1"/>
    <x:col min="7" max="7" width="16" hidden="0" customWidth="1"/>
    <x:col min="8" max="8" width="16" hidden="0" customWidth="1"/>
    <x:col min="9" max="9" width="14" hidden="0" customWidth="1"/>
    <x:col min="10" max="10" width="14" hidden="0" customWidth="1"/>
    <x:col min="11" max="11" width="14" hidden="0" customWidth="1"/>
    <x:col min="12" max="12" width="14" hidden="0" customWidth="1"/>
    <x:col min="13" max="13" width="17" hidden="0" customWidth="1"/>
  </x:cols>
  <x:sheetData>
    <x:row r="1" ht="32" customHeight="1">
      <x:c r="A1" s="3" t="str">
        <x:v>Fact and temporal interventions</x:v>
      </x:c>
      <x:c r="B1" s="2"/>
      <x:c r="C1" s="2"/>
      <x:c r="D1" s="2"/>
      <x:c r="E1" s="2"/>
      <x:c r="F1" s="2"/>
      <x:c r="G1" s="2"/>
      <x:c r="H1" s="2"/>
      <x:c r="I1" s="2"/>
      <x:c r="J1" s="2"/>
      <x:c r="K1" s="2"/>
      <x:c r="L1" s="2"/>
      <x:c r="M1" s="2"/>
    </x:row>
    <x:row r="2" ht="22" customHeight="1">
      <x:c r="A2" s="5" t="str">
        <x:v>Counts summed across prepared histories. Fallback counts are pieces, not whole units. Superseded facts counted once per stored history. B/C/D changed compare B-A, C-B and D-C respectively. Source: groups/*.json and contexts.jsonl.</x:v>
      </x:c>
      <x:c r="B2" s="5"/>
      <x:c r="C2" s="5"/>
      <x:c r="D2" s="5"/>
      <x:c r="E2" s="5"/>
      <x:c r="F2" s="5"/>
      <x:c r="G2" s="5"/>
      <x:c r="H2" s="5"/>
      <x:c r="I2" s="5"/>
      <x:c r="J2" s="5"/>
      <x:c r="K2" s="5"/>
      <x:c r="L2" s="5"/>
      <x:c r="M2" s="5"/>
    </x:row>
    <x:row r="3" ht="22" customHeight="1">
      <x:c r="A3" s="5"/>
      <x:c r="B3" s="5"/>
      <x:c r="C3" s="5"/>
      <x:c r="D3" s="5"/>
      <x:c r="E3" s="5"/>
      <x:c r="F3" s="5"/>
      <x:c r="G3" s="5"/>
      <x:c r="H3" s="5"/>
      <x:c r="I3" s="5"/>
      <x:c r="J3" s="5"/>
      <x:c r="K3" s="5"/>
      <x:c r="L3" s="5"/>
      <x:c r="M3" s="5"/>
    </x:row>
    <x:row r="4" ht="10" customHeight="1">
      <x:c r="A4" s="2"/>
      <x:c r="B4" s="2"/>
      <x:c r="C4" s="2"/>
      <x:c r="D4" s="2"/>
      <x:c r="E4" s="2"/>
      <x:c r="F4" s="2"/>
      <x:c r="G4" s="2"/>
      <x:c r="H4" s="2"/>
      <x:c r="I4" s="2"/>
      <x:c r="J4" s="2"/>
      <x:c r="K4" s="2"/>
      <x:c r="L4" s="2"/>
      <x:c r="M4" s="2"/>
    </x:row>
    <x:row r="5" ht="48" customHeight="1">
      <x:c r="A5" s="8" t="str">
        <x:v>Test</x:v>
      </x:c>
      <x:c r="B5" s="8" t="str">
        <x:v>Prepared Q</x:v>
      </x:c>
      <x:c r="C5" s="8" t="str">
        <x:v>Extracted pieces</x:v>
      </x:c>
      <x:c r="D5" s="8" t="str">
        <x:v>Fallback pieces</x:v>
      </x:c>
      <x:c r="E5" s="8" t="str">
        <x:v>Rejected facts</x:v>
      </x:c>
      <x:c r="F5" s="8" t="str">
        <x:v>Stored facts</x:v>
      </x:c>
      <x:c r="G5" s="8" t="str">
        <x:v>Compressed units</x:v>
      </x:c>
      <x:c r="H5" s="8" t="str">
        <x:v>Superseded facts</x:v>
      </x:c>
      <x:c r="I5" s="8" t="str">
        <x:v>Q hiding facts</x:v>
      </x:c>
      <x:c r="J5" s="8" t="str">
        <x:v>B changed Q</x:v>
      </x:c>
      <x:c r="K5" s="8" t="str">
        <x:v>C changed Q</x:v>
      </x:c>
      <x:c r="L5" s="8" t="str">
        <x:v>D changed Q</x:v>
      </x:c>
      <x:c r="M5" s="8" t="str">
        <x:v>End before start</x:v>
      </x:c>
    </x:row>
    <x:row r="6" ht="30" customHeight="1">
      <x:c r="A6" s="9" t="str">
        <x:v>LoCoMo</x:v>
      </x:c>
      <x:c r="B6" s="11" t="n">
        <x:v>100</x:v>
      </x:c>
      <x:c r="C6" s="11" t="n">
        <x:v>606</x:v>
      </x:c>
      <x:c r="D6" s="11" t="n">
        <x:v>214</x:v>
      </x:c>
      <x:c r="E6" s="11" t="n">
        <x:v>439</x:v>
      </x:c>
      <x:c r="F6" s="11" t="n">
        <x:v>549</x:v>
      </x:c>
      <x:c r="G6" s="11" t="n">
        <x:v>135</x:v>
      </x:c>
      <x:c r="H6" s="11" t="n">
        <x:v>2</x:v>
      </x:c>
      <x:c r="I6" s="11" t="n">
        <x:v>18</x:v>
      </x:c>
      <x:c r="J6" s="11" t="n">
        <x:v>98</x:v>
      </x:c>
      <x:c r="K6" s="11" t="n">
        <x:v>98</x:v>
      </x:c>
      <x:c r="L6" s="11" t="n">
        <x:v>100</x:v>
      </x:c>
      <x:c r="M6" s="11" t="n">
        <x:v>0</x:v>
      </x:c>
    </x:row>
    <x:row r="7" ht="30" customHeight="1">
      <x:c r="A7" s="9" t="str">
        <x:v>MuSiQue</x:v>
      </x:c>
      <x:c r="B7" s="11" t="n">
        <x:v>100</x:v>
      </x:c>
      <x:c r="C7" s="11" t="n">
        <x:v>739</x:v>
      </x:c>
      <x:c r="D7" s="11" t="n">
        <x:v>409</x:v>
      </x:c>
      <x:c r="E7" s="11" t="n">
        <x:v>995</x:v>
      </x:c>
      <x:c r="F7" s="11" t="n">
        <x:v>3111</x:v>
      </x:c>
      <x:c r="G7" s="11" t="n">
        <x:v>330</x:v>
      </x:c>
      <x:c r="H7" s="11" t="n">
        <x:v>1</x:v>
      </x:c>
      <x:c r="I7" s="11" t="n">
        <x:v>76</x:v>
      </x:c>
      <x:c r="J7" s="11" t="n">
        <x:v>99</x:v>
      </x:c>
      <x:c r="K7" s="11" t="n">
        <x:v>57</x:v>
      </x:c>
      <x:c r="L7" s="11" t="n">
        <x:v>97</x:v>
      </x:c>
      <x:c r="M7" s="11" t="n">
        <x:v>0</x:v>
      </x:c>
    </x:row>
    <x:row r="8" ht="30" customHeight="1">
      <x:c r="A8" s="9" t="str">
        <x:v>2WikiMultiHopQA</x:v>
      </x:c>
      <x:c r="B8" s="11" t="n">
        <x:v>100</x:v>
      </x:c>
      <x:c r="C8" s="11" t="n">
        <x:v>712</x:v>
      </x:c>
      <x:c r="D8" s="11" t="n">
        <x:v>323</x:v>
      </x:c>
      <x:c r="E8" s="11" t="n">
        <x:v>743</x:v>
      </x:c>
      <x:c r="F8" s="11" t="n">
        <x:v>3131</x:v>
      </x:c>
      <x:c r="G8" s="11" t="n">
        <x:v>377</x:v>
      </x:c>
      <x:c r="H8" s="11" t="n">
        <x:v>0</x:v>
      </x:c>
      <x:c r="I8" s="11" t="n">
        <x:v>87</x:v>
      </x:c>
      <x:c r="J8" s="11" t="n">
        <x:v>100</x:v>
      </x:c>
      <x:c r="K8" s="11" t="n">
        <x:v>40</x:v>
      </x:c>
      <x:c r="L8" s="11" t="n">
        <x:v>100</x:v>
      </x:c>
      <x:c r="M8" s="11" t="n">
        <x:v>0</x:v>
      </x:c>
    </x:row>
    <x:row r="9" ht="30" customHeight="1">
      <x:c r="A9" s="9" t="str">
        <x:v>LongMemEval S</x:v>
      </x:c>
      <x:c r="B9" s="11" t="n">
        <x:v>100</x:v>
      </x:c>
      <x:c r="C9" s="11" t="n">
        <x:v>958</x:v>
      </x:c>
      <x:c r="D9" s="11" t="n">
        <x:v>594</x:v>
      </x:c>
      <x:c r="E9" s="11" t="n">
        <x:v>2850</x:v>
      </x:c>
      <x:c r="F9" s="11" t="n">
        <x:v>1673</x:v>
      </x:c>
      <x:c r="G9" s="11" t="n">
        <x:v>182</x:v>
      </x:c>
      <x:c r="H9" s="11" t="n">
        <x:v>0</x:v>
      </x:c>
      <x:c r="I9" s="11" t="n">
        <x:v>4</x:v>
      </x:c>
      <x:c r="J9" s="11" t="n">
        <x:v>83</x:v>
      </x:c>
      <x:c r="K9" s="11" t="n">
        <x:v>83</x:v>
      </x:c>
      <x:c r="L9" s="11" t="n">
        <x:v>89</x:v>
      </x:c>
      <x:c r="M9" s="11" t="n">
        <x:v>4</x:v>
      </x:c>
    </x:row>
    <x:row r="10" ht="30" customHeight="1">
      <x:c r="A10" s="9" t="str">
        <x:v>LongMemEval oracle</x:v>
      </x:c>
      <x:c r="B10" s="11" t="n">
        <x:v>100</x:v>
      </x:c>
      <x:c r="C10" s="11" t="n">
        <x:v>965</x:v>
      </x:c>
      <x:c r="D10" s="11" t="n">
        <x:v>602</x:v>
      </x:c>
      <x:c r="E10" s="11" t="n">
        <x:v>2890</x:v>
      </x:c>
      <x:c r="F10" s="11" t="n">
        <x:v>1637</x:v>
      </x:c>
      <x:c r="G10" s="11" t="n">
        <x:v>171</x:v>
      </x:c>
      <x:c r="H10" s="11" t="n">
        <x:v>0</x:v>
      </x:c>
      <x:c r="I10" s="11" t="n">
        <x:v>1</x:v>
      </x:c>
      <x:c r="J10" s="11" t="n">
        <x:v>81</x:v>
      </x:c>
      <x:c r="K10" s="11" t="n">
        <x:v>81</x:v>
      </x:c>
      <x:c r="L10" s="11" t="n">
        <x:v>82</x:v>
      </x:c>
      <x:c r="M10" s="11" t="n">
        <x:v>3</x:v>
      </x:c>
    </x:row>
    <x:row r="11" ht="30" customHeight="1">
      <x:c r="A11" s="9" t="str">
        <x:v>MultiHop-RAG</x:v>
      </x:c>
      <x:c r="B11" s="11" t="n">
        <x:v>100</x:v>
      </x:c>
      <x:c r="C11" s="11" t="n">
        <x:v>501</x:v>
      </x:c>
      <x:c r="D11" s="11" t="n">
        <x:v>395</x:v>
      </x:c>
      <x:c r="E11" s="11" t="n">
        <x:v>1461</x:v>
      </x:c>
      <x:c r="F11" s="11" t="n">
        <x:v>1674</x:v>
      </x:c>
      <x:c r="G11" s="11" t="n">
        <x:v>106</x:v>
      </x:c>
      <x:c r="H11" s="11" t="n">
        <x:v>5</x:v>
      </x:c>
      <x:c r="I11" s="11" t="n">
        <x:v>73</x:v>
      </x:c>
      <x:c r="J11" s="11" t="n">
        <x:v>82</x:v>
      </x:c>
      <x:c r="K11" s="11" t="n">
        <x:v>82</x:v>
      </x:c>
      <x:c r="L11" s="11" t="n">
        <x:v>99</x:v>
      </x:c>
      <x:c r="M11" s="11" t="n">
        <x:v>4</x:v>
      </x:c>
    </x:row>
    <x:row r="12" ht="30" customHeight="1">
      <x:c r="A12" s="9" t="str">
        <x:v>FactConsolidation SH 6K</x:v>
      </x:c>
      <x:c r="B12" s="11" t="n">
        <x:v>100</x:v>
      </x:c>
      <x:c r="C12" s="11" t="n">
        <x:v>26</x:v>
      </x:c>
      <x:c r="D12" s="11" t="n">
        <x:v>0</x:v>
      </x:c>
      <x:c r="E12" s="11" t="n">
        <x:v>0</x:v>
      </x:c>
      <x:c r="F12" s="11" t="n">
        <x:v>416</x:v>
      </x:c>
      <x:c r="G12" s="11" t="n">
        <x:v>26</x:v>
      </x:c>
      <x:c r="H12" s="11" t="n">
        <x:v>67</x:v>
      </x:c>
      <x:c r="I12" s="11" t="n">
        <x:v>100</x:v>
      </x:c>
      <x:c r="J12" s="11" t="n">
        <x:v>100</x:v>
      </x:c>
      <x:c r="K12" s="11" t="n">
        <x:v>100</x:v>
      </x:c>
      <x:c r="L12" s="11" t="n">
        <x:v>100</x:v>
      </x:c>
      <x:c r="M12" s="11" t="n">
        <x:v>0</x:v>
      </x:c>
    </x:row>
    <x:row r="13" ht="30" customHeight="1">
      <x:c r="A13" s="9" t="str">
        <x:v>FactConsolidation MH 6K</x:v>
      </x:c>
      <x:c r="B13" s="11" t="n">
        <x:v>100</x:v>
      </x:c>
      <x:c r="C13" s="11" t="n">
        <x:v>26</x:v>
      </x:c>
      <x:c r="D13" s="11" t="n">
        <x:v>0</x:v>
      </x:c>
      <x:c r="E13" s="11" t="n">
        <x:v>0</x:v>
      </x:c>
      <x:c r="F13" s="11" t="n">
        <x:v>416</x:v>
      </x:c>
      <x:c r="G13" s="11" t="n">
        <x:v>26</x:v>
      </x:c>
      <x:c r="H13" s="11" t="n">
        <x:v>74</x:v>
      </x:c>
      <x:c r="I13" s="11" t="n">
        <x:v>100</x:v>
      </x:c>
      <x:c r="J13" s="11" t="n">
        <x:v>100</x:v>
      </x:c>
      <x:c r="K13" s="11" t="n">
        <x:v>100</x:v>
      </x:c>
      <x:c r="L13" s="11" t="n">
        <x:v>100</x:v>
      </x:c>
      <x:c r="M13" s="11" t="n">
        <x:v>0</x:v>
      </x:c>
    </x:row>
    <x:row r="14" ht="30" customHeight="1">
      <x:c r="A14" s="9" t="str">
        <x:v>FactConsolidation SH 32K</x:v>
      </x:c>
      <x:c r="B14" s="11" t="n">
        <x:v>100</x:v>
      </x:c>
      <x:c r="C14" s="11" t="n">
        <x:v>134</x:v>
      </x:c>
      <x:c r="D14" s="11" t="n">
        <x:v>3</x:v>
      </x:c>
      <x:c r="E14" s="11" t="n">
        <x:v>2</x:v>
      </x:c>
      <x:c r="F14" s="11" t="n">
        <x:v>2095</x:v>
      </x:c>
      <x:c r="G14" s="11" t="n">
        <x:v>131</x:v>
      </x:c>
      <x:c r="H14" s="11" t="n">
        <x:v>385</x:v>
      </x:c>
      <x:c r="I14" s="11" t="n">
        <x:v>100</x:v>
      </x:c>
      <x:c r="J14" s="11" t="n">
        <x:v>100</x:v>
      </x:c>
      <x:c r="K14" s="11" t="n">
        <x:v>100</x:v>
      </x:c>
      <x:c r="L14" s="11" t="n">
        <x:v>99</x:v>
      </x:c>
      <x:c r="M14" s="11" t="n">
        <x:v>0</x:v>
      </x:c>
    </x:row>
    <x:row r="15" ht="30" customHeight="1">
      <x:c r="A15" s="9" t="str">
        <x:v>FactConsolidation MH 32K</x:v>
      </x:c>
      <x:c r="B15" s="11" t="n">
        <x:v>100</x:v>
      </x:c>
      <x:c r="C15" s="11" t="n">
        <x:v>132</x:v>
      </x:c>
      <x:c r="D15" s="11" t="n">
        <x:v>3</x:v>
      </x:c>
      <x:c r="E15" s="11" t="n">
        <x:v>2</x:v>
      </x:c>
      <x:c r="F15" s="11" t="n">
        <x:v>2063</x:v>
      </x:c>
      <x:c r="G15" s="11" t="n">
        <x:v>129</x:v>
      </x:c>
      <x:c r="H15" s="11" t="n">
        <x:v>359</x:v>
      </x:c>
      <x:c r="I15" s="11" t="n">
        <x:v>100</x:v>
      </x:c>
      <x:c r="J15" s="11" t="n">
        <x:v>100</x:v>
      </x:c>
      <x:c r="K15" s="11" t="n">
        <x:v>100</x:v>
      </x:c>
      <x:c r="L15" s="11" t="n">
        <x:v>99</x:v>
      </x:c>
      <x:c r="M15" s="11" t="n">
        <x:v>0</x:v>
      </x:c>
    </x:row>
    <x:row r="16" ht="30" customHeight="1">
      <x:c r="A16" s="9" t="str">
        <x:v>FactConsolidation SH 64K</x:v>
      </x:c>
      <x:c r="B16" s="11" t="n">
        <x:v>100</x:v>
      </x:c>
      <x:c r="C16" s="11" t="n">
        <x:v>239</x:v>
      </x:c>
      <x:c r="D16" s="11" t="n">
        <x:v>4</x:v>
      </x:c>
      <x:c r="E16" s="11" t="n">
        <x:v>2</x:v>
      </x:c>
      <x:c r="F16" s="11" t="n">
        <x:v>3757</x:v>
      </x:c>
      <x:c r="G16" s="11" t="n">
        <x:v>235</x:v>
      </x:c>
      <x:c r="H16" s="11" t="n">
        <x:v>656</x:v>
      </x:c>
      <x:c r="I16" s="11" t="n">
        <x:v>100</x:v>
      </x:c>
      <x:c r="J16" s="11" t="n">
        <x:v>100</x:v>
      </x:c>
      <x:c r="K16" s="11" t="n">
        <x:v>100</x:v>
      </x:c>
      <x:c r="L16" s="11" t="n">
        <x:v>100</x:v>
      </x:c>
      <x:c r="M16" s="11" t="n">
        <x:v>0</x:v>
      </x:c>
    </x:row>
    <x:row r="17" ht="30" customHeight="1">
      <x:c r="A17" s="9" t="str">
        <x:v>FactConsolidation MH 64K</x:v>
      </x:c>
      <x:c r="B17" s="11" t="n">
        <x:v>100</x:v>
      </x:c>
      <x:c r="C17" s="11" t="n">
        <x:v>244</x:v>
      </x:c>
      <x:c r="D17" s="11" t="n">
        <x:v>7</x:v>
      </x:c>
      <x:c r="E17" s="11" t="n">
        <x:v>6</x:v>
      </x:c>
      <x:c r="F17" s="11" t="n">
        <x:v>3789</x:v>
      </x:c>
      <x:c r="G17" s="11" t="n">
        <x:v>237</x:v>
      </x:c>
      <x:c r="H17" s="11" t="n">
        <x:v>659</x:v>
      </x:c>
      <x:c r="I17" s="11" t="n">
        <x:v>100</x:v>
      </x:c>
      <x:c r="J17" s="11" t="n">
        <x:v>100</x:v>
      </x:c>
      <x:c r="K17" s="11" t="n">
        <x:v>100</x:v>
      </x:c>
      <x:c r="L17" s="11" t="n">
        <x:v>100</x:v>
      </x:c>
      <x:c r="M17" s="11" t="n">
        <x:v>0</x:v>
      </x:c>
    </x:row>
    <x:row r="18" ht="30" customHeight="1">
      <x:c r="A18" s="9" t="str">
        <x:v>FactConsolidation SH 262K</x:v>
      </x:c>
      <x:c r="B18" s="11" t="n">
        <x:v>100</x:v>
      </x:c>
      <x:c r="C18" s="11" t="n">
        <x:v>490</x:v>
      </x:c>
      <x:c r="D18" s="11" t="n">
        <x:v>3</x:v>
      </x:c>
      <x:c r="E18" s="11" t="n">
        <x:v>2</x:v>
      </x:c>
      <x:c r="F18" s="11" t="n">
        <x:v>7792</x:v>
      </x:c>
      <x:c r="G18" s="11" t="n">
        <x:v>487</x:v>
      </x:c>
      <x:c r="H18" s="11" t="n">
        <x:v>799</x:v>
      </x:c>
      <x:c r="I18" s="11" t="n">
        <x:v>100</x:v>
      </x:c>
      <x:c r="J18" s="11" t="n">
        <x:v>100</x:v>
      </x:c>
      <x:c r="K18" s="11" t="n">
        <x:v>100</x:v>
      </x:c>
      <x:c r="L18" s="11" t="n">
        <x:v>99</x:v>
      </x:c>
      <x:c r="M18" s="11" t="n">
        <x:v>0</x:v>
      </x:c>
    </x:row>
    <x:row r="19" ht="30" customHeight="1">
      <x:c r="A19" s="9" t="str">
        <x:v>FactConsolidation MH 262K</x:v>
      </x:c>
      <x:c r="B19" s="11" t="n">
        <x:v>100</x:v>
      </x:c>
      <x:c r="C19" s="11" t="n">
        <x:v>485</x:v>
      </x:c>
      <x:c r="D19" s="11" t="n">
        <x:v>8</x:v>
      </x:c>
      <x:c r="E19" s="11" t="n">
        <x:v>7</x:v>
      </x:c>
      <x:c r="F19" s="11" t="n">
        <x:v>7632</x:v>
      </x:c>
      <x:c r="G19" s="11" t="n">
        <x:v>477</x:v>
      </x:c>
      <x:c r="H19" s="11" t="n">
        <x:v>803</x:v>
      </x:c>
      <x:c r="I19" s="11" t="n">
        <x:v>100</x:v>
      </x:c>
      <x:c r="J19" s="11" t="n">
        <x:v>100</x:v>
      </x:c>
      <x:c r="K19" s="11" t="n">
        <x:v>100</x:v>
      </x:c>
      <x:c r="L19" s="11" t="n">
        <x:v>100</x:v>
      </x:c>
      <x:c r="M19" s="11" t="n">
        <x:v>0</x:v>
      </x:c>
    </x:row>
    <x:row r="20" ht="30" customHeight="1">
      <x:c r="A20" s="9" t="str">
        <x:v>PersonaMem v2 32K</x:v>
      </x:c>
      <x:c r="B20" s="11" t="n">
        <x:v>100</x:v>
      </x:c>
      <x:c r="C20" s="11" t="n">
        <x:v>827</x:v>
      </x:c>
      <x:c r="D20" s="11" t="n">
        <x:v>413</x:v>
      </x:c>
      <x:c r="E20" s="11" t="n">
        <x:v>1876</x:v>
      </x:c>
      <x:c r="F20" s="11" t="n">
        <x:v>976</x:v>
      </x:c>
      <x:c r="G20" s="11" t="n">
        <x:v>90</x:v>
      </x:c>
      <x:c r="H20" s="11" t="n">
        <x:v>0</x:v>
      </x:c>
      <x:c r="I20" s="11" t="n">
        <x:v>0</x:v>
      </x:c>
      <x:c r="J20" s="11" t="n">
        <x:v>67</x:v>
      </x:c>
      <x:c r="K20" s="11" t="n">
        <x:v>5</x:v>
      </x:c>
      <x:c r="L20" s="11" t="n">
        <x:v>86</x:v>
      </x:c>
      <x:c r="M20" s="11" t="n">
        <x:v>0</x:v>
      </x:c>
    </x:row>
    <x:row r="21" ht="30" customHeight="1">
      <x:c r="A21" s="9" t="str">
        <x:v>PersonaMem v2 128K</x:v>
      </x:c>
      <x:c r="B21" s="11" t="n">
        <x:v>100</x:v>
      </x:c>
      <x:c r="C21" s="11" t="n">
        <x:v>819</x:v>
      </x:c>
      <x:c r="D21" s="11" t="n">
        <x:v>356</x:v>
      </x:c>
      <x:c r="E21" s="11" t="n">
        <x:v>1568</x:v>
      </x:c>
      <x:c r="F21" s="11" t="n">
        <x:v>897</x:v>
      </x:c>
      <x:c r="G21" s="11" t="n">
        <x:v>102</x:v>
      </x:c>
      <x:c r="H21" s="11" t="n">
        <x:v>0</x:v>
      </x:c>
      <x:c r="I21" s="11" t="n">
        <x:v>1</x:v>
      </x:c>
      <x:c r="J21" s="11" t="n">
        <x:v>63</x:v>
      </x:c>
      <x:c r="K21" s="11" t="n">
        <x:v>7</x:v>
      </x:c>
      <x:c r="L21" s="11" t="n">
        <x:v>84</x:v>
      </x:c>
      <x:c r="M21" s="11" t="n">
        <x:v>0</x:v>
      </x:c>
    </x:row>
    <x:row r="22" ht="30" customHeight="1">
      <x:c r="A22" s="9" t="str">
        <x:v>BEAM 100K</x:v>
      </x:c>
      <x:c r="B22" s="11" t="n">
        <x:v>100</x:v>
      </x:c>
      <x:c r="C22" s="11" t="n">
        <x:v>970</x:v>
      </x:c>
      <x:c r="D22" s="11" t="n">
        <x:v>749</x:v>
      </x:c>
      <x:c r="E22" s="11" t="n">
        <x:v>4371</x:v>
      </x:c>
      <x:c r="F22" s="11" t="n">
        <x:v>771</x:v>
      </x:c>
      <x:c r="G22" s="11" t="n">
        <x:v>95</x:v>
      </x:c>
      <x:c r="H22" s="11" t="n">
        <x:v>2</x:v>
      </x:c>
      <x:c r="I22" s="11" t="n">
        <x:v>43</x:v>
      </x:c>
      <x:c r="J22" s="11" t="n">
        <x:v>40</x:v>
      </x:c>
      <x:c r="K22" s="11" t="n">
        <x:v>40</x:v>
      </x:c>
      <x:c r="L22" s="11" t="n">
        <x:v>99</x:v>
      </x:c>
      <x:c r="M22" s="11" t="n">
        <x:v>3</x:v>
      </x:c>
    </x:row>
    <x:row r="23" ht="30" customHeight="1">
      <x:c r="A23" s="9" t="str">
        <x:v>BEAM 500K</x:v>
      </x:c>
      <x:c r="B23" s="11" t="n">
        <x:v>100</x:v>
      </x:c>
      <x:c r="C23" s="11" t="n">
        <x:v>1085</x:v>
      </x:c>
      <x:c r="D23" s="11" t="n">
        <x:v>825</x:v>
      </x:c>
      <x:c r="E23" s="11" t="n">
        <x:v>4923</x:v>
      </x:c>
      <x:c r="F23" s="11" t="n">
        <x:v>542</x:v>
      </x:c>
      <x:c r="G23" s="11" t="n">
        <x:v>106</x:v>
      </x:c>
      <x:c r="H23" s="11" t="n">
        <x:v>3</x:v>
      </x:c>
      <x:c r="I23" s="11" t="n">
        <x:v>22</x:v>
      </x:c>
      <x:c r="J23" s="11" t="n">
        <x:v>50</x:v>
      </x:c>
      <x:c r="K23" s="11" t="n">
        <x:v>50</x:v>
      </x:c>
      <x:c r="L23" s="11" t="n">
        <x:v>98</x:v>
      </x:c>
      <x:c r="M23" s="11" t="n">
        <x:v>4</x:v>
      </x:c>
    </x:row>
    <x:row r="24" ht="30" customHeight="1">
      <x:c r="A24" s="9" t="str">
        <x:v>BEAM 1M</x:v>
      </x:c>
      <x:c r="B24" s="11" t="n">
        <x:v>100</x:v>
      </x:c>
      <x:c r="C24" s="11" t="n">
        <x:v>1132</x:v>
      </x:c>
      <x:c r="D24" s="11" t="n">
        <x:v>825</x:v>
      </x:c>
      <x:c r="E24" s="11" t="n">
        <x:v>4837</x:v>
      </x:c>
      <x:c r="F24" s="11" t="n">
        <x:v>730</x:v>
      </x:c>
      <x:c r="G24" s="11" t="n">
        <x:v>103</x:v>
      </x:c>
      <x:c r="H24" s="11" t="n">
        <x:v>7</x:v>
      </x:c>
      <x:c r="I24" s="11" t="n">
        <x:v>22</x:v>
      </x:c>
      <x:c r="J24" s="11" t="n">
        <x:v>43</x:v>
      </x:c>
      <x:c r="K24" s="11" t="n">
        <x:v>43</x:v>
      </x:c>
      <x:c r="L24" s="11" t="n">
        <x:v>95</x:v>
      </x:c>
      <x:c r="M24" s="11" t="n">
        <x:v>3</x:v>
      </x:c>
    </x:row>
  </x:sheetData>
  <x:mergeCells>
    <x:mergeCell ref="A2:M3"/>
  </x:mergeCells>
  <x:pageMargins left="0.7" right="0.7" top="0.75" bottom="0.75" header="0.3" footer="0.3"/>
  <x:tableParts count="1">
    <x:tablePart xmlns:r="http://schemas.openxmlformats.org/officeDocument/2006/relationships" r:id="Rdbfb02d782f64ee9"/>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4" hidden="0" customWidth="1"/>
    <x:col min="3" max="3" width="14" hidden="0" customWidth="1"/>
    <x:col min="4" max="4" width="16" hidden="0" customWidth="1"/>
    <x:col min="5" max="5" width="14" hidden="0" customWidth="1"/>
    <x:col min="6" max="6" width="16" hidden="0" customWidth="1"/>
    <x:col min="7" max="7" width="20" hidden="0" customWidth="1"/>
  </x:cols>
  <x:sheetData>
    <x:row r="1" ht="32" customHeight="1">
      <x:c r="A1" s="3" t="str">
        <x:v>Discovered evidence graph</x:v>
      </x:c>
      <x:c r="B1" s="2"/>
      <x:c r="C1" s="2"/>
      <x:c r="D1" s="2"/>
      <x:c r="E1" s="2"/>
      <x:c r="F1" s="2"/>
      <x:c r="G1" s="2"/>
    </x:row>
    <x:row r="2" ht="22" customHeight="1">
      <x:c r="A2" s="5" t="str">
        <x:v>D uses separate topic and community indexes plus typed entity/fact/source relationships. These counts cover discovered evidence, not an exhaustive graph of the corpus. Setup cost is shared across B/C/D.</x:v>
      </x:c>
      <x:c r="B2" s="5"/>
      <x:c r="C2" s="5"/>
      <x:c r="D2" s="5"/>
      <x:c r="E2" s="5"/>
      <x:c r="F2" s="5"/>
      <x:c r="G2" s="5"/>
    </x:row>
    <x:row r="3" ht="22" customHeight="1">
      <x:c r="A3" s="5"/>
      <x:c r="B3" s="5"/>
      <x:c r="C3" s="5"/>
      <x:c r="D3" s="5"/>
      <x:c r="E3" s="5"/>
      <x:c r="F3" s="5"/>
      <x:c r="G3" s="5"/>
    </x:row>
    <x:row r="4" ht="10" customHeight="1">
      <x:c r="A4" s="2"/>
      <x:c r="B4" s="2"/>
      <x:c r="C4" s="2"/>
      <x:c r="D4" s="2"/>
      <x:c r="E4" s="2"/>
      <x:c r="F4" s="2"/>
      <x:c r="G4" s="2"/>
    </x:row>
    <x:row r="5" ht="48" customHeight="1">
      <x:c r="A5" s="8" t="str">
        <x:v>Test</x:v>
      </x:c>
      <x:c r="B5" s="8" t="str">
        <x:v>Histories</x:v>
      </x:c>
      <x:c r="C5" s="8" t="str">
        <x:v>Topics</x:v>
      </x:c>
      <x:c r="D5" s="8" t="str">
        <x:v>Communities</x:v>
      </x:c>
      <x:c r="E5" s="8" t="str">
        <x:v>Entities</x:v>
      </x:c>
      <x:c r="F5" s="8" t="str">
        <x:v>Typed edges</x:v>
      </x:c>
      <x:c r="G5" s="8" t="str">
        <x:v>Shared setup USD</x:v>
      </x:c>
    </x:row>
    <x:row r="6" ht="30" customHeight="1">
      <x:c r="A6" s="9" t="str">
        <x:v>LoCoMo</x:v>
      </x:c>
      <x:c r="B6" s="11" t="n">
        <x:v>10</x:v>
      </x:c>
      <x:c r="C6" s="11" t="n">
        <x:v>35</x:v>
      </x:c>
      <x:c r="D6" s="11" t="n">
        <x:v>500</x:v>
      </x:c>
      <x:c r="E6" s="11" t="n">
        <x:v>554</x:v>
      </x:c>
      <x:c r="F6" s="11" t="n">
        <x:v>3561</x:v>
      </x:c>
      <x:c r="G6" s="16" t="n">
        <x:v>0.0921498</x:v>
      </x:c>
    </x:row>
    <x:row r="7" ht="30" customHeight="1">
      <x:c r="A7" s="9" t="str">
        <x:v>MuSiQue</x:v>
      </x:c>
      <x:c r="B7" s="11" t="n">
        <x:v>1</x:v>
      </x:c>
      <x:c r="C7" s="11" t="n">
        <x:v>13</x:v>
      </x:c>
      <x:c r="D7" s="11" t="n">
        <x:v>551</x:v>
      </x:c>
      <x:c r="E7" s="11" t="n">
        <x:v>3176</x:v>
      </x:c>
      <x:c r="F7" s="11" t="n">
        <x:v>14273</x:v>
      </x:c>
      <x:c r="G7" s="16" t="n">
        <x:v>0.40040580000000003</x:v>
      </x:c>
    </x:row>
    <x:row r="8" ht="30" customHeight="1">
      <x:c r="A8" s="9" t="str">
        <x:v>2WikiMultiHopQA</x:v>
      </x:c>
      <x:c r="B8" s="11" t="n">
        <x:v>1</x:v>
      </x:c>
      <x:c r="C8" s="11" t="n">
        <x:v>13</x:v>
      </x:c>
      <x:c r="D8" s="11" t="n">
        <x:v>427</x:v>
      </x:c>
      <x:c r="E8" s="11" t="n">
        <x:v>2918</x:v>
      </x:c>
      <x:c r="F8" s="11" t="n">
        <x:v>14204</x:v>
      </x:c>
      <x:c r="G8" s="16" t="n">
        <x:v>0.3431732</x:v>
      </x:c>
    </x:row>
    <x:row r="9" ht="30" customHeight="1">
      <x:c r="A9" s="9" t="str">
        <x:v>LongMemEval S</x:v>
      </x:c>
      <x:c r="B9" s="11" t="n">
        <x:v>100</x:v>
      </x:c>
      <x:c r="C9" s="11" t="n">
        <x:v>100</x:v>
      </x:c>
      <x:c r="D9" s="11" t="n">
        <x:v>721</x:v>
      </x:c>
      <x:c r="E9" s="11" t="n">
        <x:v>1770</x:v>
      </x:c>
      <x:c r="F9" s="11" t="n">
        <x:v>8552</x:v>
      </x:c>
      <x:c r="G9" s="16" t="n">
        <x:v>0.46058960000000004</x:v>
      </x:c>
    </x:row>
    <x:row r="10" ht="30" customHeight="1">
      <x:c r="A10" s="9" t="str">
        <x:v>LongMemEval oracle</x:v>
      </x:c>
      <x:c r="B10" s="11" t="n">
        <x:v>100</x:v>
      </x:c>
      <x:c r="C10" s="11" t="n">
        <x:v>100</x:v>
      </x:c>
      <x:c r="D10" s="11" t="n">
        <x:v>707</x:v>
      </x:c>
      <x:c r="E10" s="11" t="n">
        <x:v>1749</x:v>
      </x:c>
      <x:c r="F10" s="11" t="n">
        <x:v>8374</x:v>
      </x:c>
      <x:c r="G10" s="16" t="n">
        <x:v>0.47036320000000004</x:v>
      </x:c>
    </x:row>
    <x:row r="11" ht="30" customHeight="1">
      <x:c r="A11" s="9" t="str">
        <x:v>MultiHop-RAG</x:v>
      </x:c>
      <x:c r="B11" s="11" t="n">
        <x:v>1</x:v>
      </x:c>
      <x:c r="C11" s="11" t="n">
        <x:v>11</x:v>
      </x:c>
      <x:c r="D11" s="11" t="n">
        <x:v>433</x:v>
      </x:c>
      <x:c r="E11" s="11" t="n">
        <x:v>2007</x:v>
      </x:c>
      <x:c r="F11" s="11" t="n">
        <x:v>8155</x:v>
      </x:c>
      <x:c r="G11" s="16" t="n">
        <x:v>0.3982582</x:v>
      </x:c>
    </x:row>
    <x:row r="12" ht="30" customHeight="1">
      <x:c r="A12" s="9" t="str">
        <x:v>FactConsolidation SH 6K</x:v>
      </x:c>
      <x:c r="B12" s="11" t="n">
        <x:v>1</x:v>
      </x:c>
      <x:c r="C12" s="11" t="n">
        <x:v>2</x:v>
      </x:c>
      <x:c r="D12" s="11" t="n">
        <x:v>4</x:v>
      </x:c>
      <x:c r="E12" s="11" t="n">
        <x:v>396</x:v>
      </x:c>
      <x:c r="F12" s="11" t="n">
        <x:v>2088</x:v>
      </x:c>
      <x:c r="G12" s="16" t="n">
        <x:v>0.0176966</x:v>
      </x:c>
    </x:row>
    <x:row r="13" ht="30" customHeight="1">
      <x:c r="A13" s="9" t="str">
        <x:v>FactConsolidation MH 6K</x:v>
      </x:c>
      <x:c r="B13" s="11" t="n">
        <x:v>1</x:v>
      </x:c>
      <x:c r="C13" s="11" t="n">
        <x:v>2</x:v>
      </x:c>
      <x:c r="D13" s="11" t="n">
        <x:v>4</x:v>
      </x:c>
      <x:c r="E13" s="11" t="n">
        <x:v>397</x:v>
      </x:c>
      <x:c r="F13" s="11" t="n">
        <x:v>2088</x:v>
      </x:c>
      <x:c r="G13" s="16" t="n">
        <x:v>0.0172942</x:v>
      </x:c>
    </x:row>
    <x:row r="14" ht="30" customHeight="1">
      <x:c r="A14" s="9" t="str">
        <x:v>FactConsolidation SH 32K</x:v>
      </x:c>
      <x:c r="B14" s="11" t="n">
        <x:v>1</x:v>
      </x:c>
      <x:c r="C14" s="11" t="n">
        <x:v>5</x:v>
      </x:c>
      <x:c r="D14" s="11" t="n">
        <x:v>7</x:v>
      </x:c>
      <x:c r="E14" s="11" t="n">
        <x:v>1721</x:v>
      </x:c>
      <x:c r="F14" s="11" t="n">
        <x:v>10614</x:v>
      </x:c>
      <x:c r="G14" s="16" t="n">
        <x:v>0.09590850000000001</x:v>
      </x:c>
    </x:row>
    <x:row r="15" ht="30" customHeight="1">
      <x:c r="A15" s="9" t="str">
        <x:v>FactConsolidation MH 32K</x:v>
      </x:c>
      <x:c r="B15" s="11" t="n">
        <x:v>1</x:v>
      </x:c>
      <x:c r="C15" s="11" t="n">
        <x:v>5</x:v>
      </x:c>
      <x:c r="D15" s="11" t="n">
        <x:v>6</x:v>
      </x:c>
      <x:c r="E15" s="11" t="n">
        <x:v>1711</x:v>
      </x:c>
      <x:c r="F15" s="11" t="n">
        <x:v>10455</x:v>
      </x:c>
      <x:c r="G15" s="16" t="n">
        <x:v>0.0950999</x:v>
      </x:c>
    </x:row>
    <x:row r="16" ht="30" customHeight="1">
      <x:c r="A16" s="9" t="str">
        <x:v>FactConsolidation SH 64K</x:v>
      </x:c>
      <x:c r="B16" s="11" t="n">
        <x:v>1</x:v>
      </x:c>
      <x:c r="C16" s="11" t="n">
        <x:v>7</x:v>
      </x:c>
      <x:c r="D16" s="11" t="n">
        <x:v>9</x:v>
      </x:c>
      <x:c r="E16" s="11" t="n">
        <x:v>3034</x:v>
      </x:c>
      <x:c r="F16" s="11" t="n">
        <x:v>19021</x:v>
      </x:c>
      <x:c r="G16" s="16" t="n">
        <x:v>0.1699291</x:v>
      </x:c>
    </x:row>
    <x:row r="17" ht="30" customHeight="1">
      <x:c r="A17" s="9" t="str">
        <x:v>FactConsolidation MH 64K</x:v>
      </x:c>
      <x:c r="B17" s="11" t="n">
        <x:v>1</x:v>
      </x:c>
      <x:c r="C17" s="11" t="n">
        <x:v>7</x:v>
      </x:c>
      <x:c r="D17" s="11" t="n">
        <x:v>13</x:v>
      </x:c>
      <x:c r="E17" s="11" t="n">
        <x:v>3078</x:v>
      </x:c>
      <x:c r="F17" s="11" t="n">
        <x:v>19191</x:v>
      </x:c>
      <x:c r="G17" s="16" t="n">
        <x:v>0.1748839</x:v>
      </x:c>
    </x:row>
    <x:row r="18" ht="30" customHeight="1">
      <x:c r="A18" s="9" t="str">
        <x:v>FactConsolidation SH 262K</x:v>
      </x:c>
      <x:c r="B18" s="11" t="n">
        <x:v>1</x:v>
      </x:c>
      <x:c r="C18" s="11" t="n">
        <x:v>11</x:v>
      </x:c>
      <x:c r="D18" s="11" t="n">
        <x:v>10</x:v>
      </x:c>
      <x:c r="E18" s="11" t="n">
        <x:v>7132</x:v>
      </x:c>
      <x:c r="F18" s="11" t="n">
        <x:v>39292</x:v>
      </x:c>
      <x:c r="G18" s="16" t="n">
        <x:v>0.3545787</x:v>
      </x:c>
    </x:row>
    <x:row r="19" ht="30" customHeight="1">
      <x:c r="A19" s="9" t="str">
        <x:v>FactConsolidation MH 262K</x:v>
      </x:c>
      <x:c r="B19" s="11" t="n">
        <x:v>1</x:v>
      </x:c>
      <x:c r="C19" s="11" t="n">
        <x:v>11</x:v>
      </x:c>
      <x:c r="D19" s="11" t="n">
        <x:v>16</x:v>
      </x:c>
      <x:c r="E19" s="11" t="n">
        <x:v>7043</x:v>
      </x:c>
      <x:c r="F19" s="11" t="n">
        <x:v>38566</x:v>
      </x:c>
      <x:c r="G19" s="16" t="n">
        <x:v>0.34976430000000003</x:v>
      </x:c>
    </x:row>
    <x:row r="20" ht="30" customHeight="1">
      <x:c r="A20" s="9" t="str">
        <x:v>PersonaMem v2 32K</x:v>
      </x:c>
      <x:c r="B20" s="11" t="n">
        <x:v>77</x:v>
      </x:c>
      <x:c r="C20" s="11" t="n">
        <x:v>91</x:v>
      </x:c>
      <x:c r="D20" s="11" t="n">
        <x:v>764</x:v>
      </x:c>
      <x:c r="E20" s="11" t="n">
        <x:v>1112</x:v>
      </x:c>
      <x:c r="F20" s="11" t="n">
        <x:v>5628</x:v>
      </x:c>
      <x:c r="G20" s="16" t="n">
        <x:v>0.3159284</x:v>
      </x:c>
    </x:row>
    <x:row r="21" ht="30" customHeight="1">
      <x:c r="A21" s="9" t="str">
        <x:v>PersonaMem v2 128K</x:v>
      </x:c>
      <x:c r="B21" s="11" t="n">
        <x:v>78</x:v>
      </x:c>
      <x:c r="C21" s="11" t="n">
        <x:v>93</x:v>
      </x:c>
      <x:c r="D21" s="11" t="n">
        <x:v>763</x:v>
      </x:c>
      <x:c r="E21" s="11" t="n">
        <x:v>975</x:v>
      </x:c>
      <x:c r="F21" s="11" t="n">
        <x:v>5302</x:v>
      </x:c>
      <x:c r="G21" s="16" t="n">
        <x:v>0.2591589</x:v>
      </x:c>
    </x:row>
    <x:row r="22" ht="30" customHeight="1">
      <x:c r="A22" s="9" t="str">
        <x:v>BEAM 100K</x:v>
      </x:c>
      <x:c r="B22" s="11" t="n">
        <x:v>20</x:v>
      </x:c>
      <x:c r="C22" s="11" t="n">
        <x:v>45</x:v>
      </x:c>
      <x:c r="D22" s="11" t="n">
        <x:v>569</x:v>
      </x:c>
      <x:c r="E22" s="11" t="n">
        <x:v>758</x:v>
      </x:c>
      <x:c r="F22" s="11" t="n">
        <x:v>4450</x:v>
      </x:c>
      <x:c r="G22" s="16" t="n">
        <x:v>0.5893937</x:v>
      </x:c>
    </x:row>
    <x:row r="23" ht="30" customHeight="1">
      <x:c r="A23" s="9" t="str">
        <x:v>BEAM 500K</x:v>
      </x:c>
      <x:c r="B23" s="11" t="n">
        <x:v>32</x:v>
      </x:c>
      <x:c r="C23" s="11" t="n">
        <x:v>59</x:v>
      </x:c>
      <x:c r="D23" s="11" t="n">
        <x:v>645</x:v>
      </x:c>
      <x:c r="E23" s="11" t="n">
        <x:v>523</x:v>
      </x:c>
      <x:c r="F23" s="11" t="n">
        <x:v>3691</x:v>
      </x:c>
      <x:c r="G23" s="16" t="n">
        <x:v>0.6474272000000001</x:v>
      </x:c>
    </x:row>
    <x:row r="24" ht="30" customHeight="1">
      <x:c r="A24" s="9" t="str">
        <x:v>BEAM 1M</x:v>
      </x:c>
      <x:c r="B24" s="11" t="n">
        <x:v>34</x:v>
      </x:c>
      <x:c r="C24" s="11" t="n">
        <x:v>60</x:v>
      </x:c>
      <x:c r="D24" s="11" t="n">
        <x:v>656</x:v>
      </x:c>
      <x:c r="E24" s="11" t="n">
        <x:v>719</x:v>
      </x:c>
      <x:c r="F24" s="11" t="n">
        <x:v>4477</x:v>
      </x:c>
      <x:c r="G24" s="16" t="n">
        <x:v>0.6658013</x:v>
      </x:c>
    </x:row>
  </x:sheetData>
  <x:mergeCells>
    <x:mergeCell ref="A2:G3"/>
  </x:mergeCells>
  <x:pageMargins left="0.7" right="0.7" top="0.75" bottom="0.75" header="0.3" footer="0.3"/>
  <x:tableParts count="1">
    <x:tablePart xmlns:r="http://schemas.openxmlformats.org/officeDocument/2006/relationships" r:id="R31180dbc75354696"/>
  </x:tableParts>
</x:worksheet>
</file>

<file path=xl/worksheets/sheet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1" hidden="0" customWidth="1"/>
    <x:col min="3" max="3" width="15" hidden="0" customWidth="1"/>
    <x:col min="4" max="4" width="18" hidden="0" customWidth="1"/>
    <x:col min="5" max="5" width="19" hidden="0" customWidth="1"/>
    <x:col min="6" max="6" width="17" hidden="0" customWidth="1"/>
    <x:col min="7" max="7" width="14" hidden="0" customWidth="1"/>
    <x:col min="8" max="8" width="19" hidden="0" customWidth="1"/>
    <x:col min="9" max="9" width="17" hidden="0" customWidth="1"/>
    <x:col min="10" max="10" width="19" hidden="0" customWidth="1"/>
    <x:col min="11" max="11" width="19" hidden="0" customWidth="1"/>
  </x:cols>
  <x:sheetData>
    <x:row r="1" ht="32" customHeight="1">
      <x:c r="A1" s="3" t="str">
        <x:v>Corpus size and recorded build time</x:v>
      </x:c>
      <x:c r="B1" s="2"/>
      <x:c r="C1" s="2"/>
      <x:c r="D1" s="2"/>
      <x:c r="E1" s="2"/>
      <x:c r="F1" s="2"/>
      <x:c r="G1" s="2"/>
      <x:c r="H1" s="2"/>
      <x:c r="I1" s="2"/>
      <x:c r="J1" s="2"/>
      <x:c r="K1" s="2"/>
    </x:row>
    <x:row r="2" ht="22" customHeight="1">
      <x:c r="A2" s="5" t="str">
        <x:v>Tokens use MiniLM WordPiece, which can differ from published nominal size labels. Index time sums saved group build/load durations, excluding interrupted lost work. BCD preparation includes extraction and graph work. These are not campaign elapsed time or CPU core-hours.</x:v>
      </x:c>
      <x:c r="B2" s="5"/>
      <x:c r="C2" s="5"/>
      <x:c r="D2" s="5"/>
      <x:c r="E2" s="5"/>
      <x:c r="F2" s="5"/>
      <x:c r="G2" s="5"/>
      <x:c r="H2" s="5"/>
      <x:c r="I2" s="5"/>
      <x:c r="J2" s="5"/>
      <x:c r="K2" s="5"/>
    </x:row>
    <x:row r="3" ht="22" customHeight="1">
      <x:c r="A3" s="5"/>
      <x:c r="B3" s="5"/>
      <x:c r="C3" s="5"/>
      <x:c r="D3" s="5"/>
      <x:c r="E3" s="5"/>
      <x:c r="F3" s="5"/>
      <x:c r="G3" s="5"/>
      <x:c r="H3" s="5"/>
      <x:c r="I3" s="5"/>
      <x:c r="J3" s="5"/>
      <x:c r="K3" s="5"/>
    </x:row>
    <x:row r="4" ht="10" customHeight="1">
      <x:c r="A4" s="2"/>
      <x:c r="B4" s="2"/>
      <x:c r="C4" s="2"/>
      <x:c r="D4" s="2"/>
      <x:c r="E4" s="2"/>
      <x:c r="F4" s="2"/>
      <x:c r="G4" s="2"/>
      <x:c r="H4" s="2"/>
      <x:c r="I4" s="2"/>
      <x:c r="J4" s="2"/>
      <x:c r="K4" s="2"/>
    </x:row>
    <x:row r="5" ht="48" customHeight="1">
      <x:c r="A5" s="8" t="str">
        <x:v>Test</x:v>
      </x:c>
      <x:c r="B5" s="8" t="str">
        <x:v>Groups</x:v>
      </x:c>
      <x:c r="C5" s="8" t="str">
        <x:v>Source units</x:v>
      </x:c>
      <x:c r="D5" s="8" t="str">
        <x:v>Corpus tokens</x:v>
      </x:c>
      <x:c r="E5" s="8" t="str">
        <x:v>Mean tokens / group</x:v>
      </x:c>
      <x:c r="F5" s="8" t="str">
        <x:v>A index minutes</x:v>
      </x:c>
      <x:c r="G5" s="8" t="str">
        <x:v>Index MB</x:v>
      </x:c>
      <x:c r="H5" s="8" t="str">
        <x:v>BCD prep minutes</x:v>
      </x:c>
      <x:c r="I5" s="8" t="str">
        <x:v>Graph seconds</x:v>
      </x:c>
      <x:c r="J5" s="8" t="str">
        <x:v>A retrieval p50 ms</x:v>
      </x:c>
      <x:c r="K5" s="8" t="str">
        <x:v>A retrieval p95 ms</x:v>
      </x:c>
    </x:row>
    <x:row r="6" ht="30" customHeight="1">
      <x:c r="A6" s="9" t="str">
        <x:v>LoCoMo</x:v>
      </x:c>
      <x:c r="B6" s="11" t="n">
        <x:v>10</x:v>
      </x:c>
      <x:c r="C6" s="11" t="n">
        <x:v>5882</x:v>
      </x:c>
      <x:c r="D6" s="11" t="n">
        <x:v>196490</x:v>
      </x:c>
      <x:c r="E6" s="11" t="n">
        <x:v>19649</x:v>
      </x:c>
      <x:c r="F6" s="17" t="n">
        <x:v>0.530302209717532</x:v>
      </x:c>
      <x:c r="G6" s="17" t="n">
        <x:v>8.390568</x:v>
      </x:c>
      <x:c r="H6" s="17" t="n">
        <x:v>1.0165787701669615</x:v>
      </x:c>
      <x:c r="I6" s="17" t="n">
        <x:v>0.22032983193639666</x:v>
      </x:c>
      <x:c r="J6" s="17" t="n">
        <x:v>26.557895995210856</x:v>
      </x:c>
      <x:c r="K6" s="17" t="n">
        <x:v>33.15428121713921</x:v>
      </x:c>
    </x:row>
    <x:row r="7" ht="30" customHeight="1">
      <x:c r="A7" s="9" t="str">
        <x:v>MuSiQue</x:v>
      </x:c>
      <x:c r="B7" s="11" t="n">
        <x:v>1</x:v>
      </x:c>
      <x:c r="C7" s="11" t="n">
        <x:v>11656</x:v>
      </x:c>
      <x:c r="D7" s="11" t="n">
        <x:v>1267600</x:v>
      </x:c>
      <x:c r="E7" s="11" t="n">
        <x:v>1267600</x:v>
      </x:c>
      <x:c r="F7" s="17" t="n">
        <x:v>0.12582017499953507</x:v>
      </x:c>
      <x:c r="G7" s="17" t="n">
        <x:v>18.083724</x:v>
      </x:c>
      <x:c r="H7" s="17" t="n">
        <x:v>2.6137903805666913</x:v>
      </x:c>
      <x:c r="I7" s="17" t="n">
        <x:v>0.0898178750067018</x:v>
      </x:c>
      <x:c r="J7" s="17" t="n">
        <x:v>37.435624486533925</x:v>
      </x:c>
      <x:c r="K7" s="17" t="n">
        <x:v>48.853168718051165</x:v>
      </x:c>
    </x:row>
    <x:row r="8" ht="30" customHeight="1">
      <x:c r="A8" s="9" t="str">
        <x:v>2WikiMultiHopQA</x:v>
      </x:c>
      <x:c r="B8" s="11" t="n">
        <x:v>1</x:v>
      </x:c>
      <x:c r="C8" s="11" t="n">
        <x:v>6119</x:v>
      </x:c>
      <x:c r="D8" s="11" t="n">
        <x:v>624234</x:v>
      </x:c>
      <x:c r="E8" s="11" t="n">
        <x:v>624234</x:v>
      </x:c>
      <x:c r="F8" s="17" t="n">
        <x:v>1.8893199013837148</x:v>
      </x:c>
      <x:c r="G8" s="17" t="n">
        <x:v>10.23021</x:v>
      </x:c>
      <x:c r="H8" s="17" t="n">
        <x:v>2.3127235444495455</x:v>
      </x:c>
      <x:c r="I8" s="17" t="n">
        <x:v>0.09420074999798089</x:v>
      </x:c>
      <x:c r="J8" s="17" t="n">
        <x:v>43.8501040043775</x:v>
      </x:c>
      <x:c r="K8" s="17" t="n">
        <x:v>51.88263816235121</x:v>
      </x:c>
    </x:row>
    <x:row r="9" ht="30" customHeight="1">
      <x:c r="A9" s="9" t="str">
        <x:v>LongMemEval S</x:v>
      </x:c>
      <x:c r="B9" s="11" t="n">
        <x:v>500</x:v>
      </x:c>
      <x:c r="C9" s="11" t="n">
        <x:v>246930</x:v>
      </x:c>
      <x:c r="D9" s="11" t="n">
        <x:v>54701150</x:v>
      </x:c>
      <x:c r="E9" s="11" t="n">
        <x:v>109402.3</x:v>
      </x:c>
      <x:c r="F9" s="17" t="n">
        <x:v>233.42537344222364</x:v>
      </x:c>
      <x:c r="G9" s="17" t="n">
        <x:v>645.696118</x:v>
      </x:c>
      <x:c r="H9" s="17" t="n">
        <x:v>8.880475801346863</x:v>
      </x:c>
      <x:c r="I9" s="17" t="n">
        <x:v>1.4628397896885872</x:v>
      </x:c>
      <x:c r="J9" s="17" t="n">
        <x:v>51.23252095654607</x:v>
      </x:c>
      <x:c r="K9" s="17" t="n">
        <x:v>66.78836072096597</x:v>
      </x:c>
    </x:row>
    <x:row r="10" ht="30" customHeight="1">
      <x:c r="A10" s="9" t="str">
        <x:v>LongMemEval oracle</x:v>
      </x:c>
      <x:c r="B10" s="11" t="n">
        <x:v>500</x:v>
      </x:c>
      <x:c r="C10" s="11" t="n">
        <x:v>10960</x:v>
      </x:c>
      <x:c r="D10" s="11" t="n">
        <x:v>3029881</x:v>
      </x:c>
      <x:c r="E10" s="11" t="n">
        <x:v>6059.762</x:v>
      </x:c>
      <x:c r="F10" s="17" t="n">
        <x:v>11.505315272849597</x:v>
      </x:c>
      <x:c r="G10" s="17" t="n">
        <x:v>33.335431</x:v>
      </x:c>
      <x:c r="H10" s="17" t="n">
        <x:v>5.760865240449978</x:v>
      </x:c>
      <x:c r="I10" s="17" t="n">
        <x:v>1.338764707033988</x:v>
      </x:c>
      <x:c r="J10" s="17" t="n">
        <x:v>42.70943702431396</x:v>
      </x:c>
      <x:c r="K10" s="17" t="n">
        <x:v>77.73443753249006</x:v>
      </x:c>
    </x:row>
    <x:row r="11" ht="30" customHeight="1">
      <x:c r="A11" s="9" t="str">
        <x:v>MultiHop-RAG</x:v>
      </x:c>
      <x:c r="B11" s="11" t="n">
        <x:v>1</x:v>
      </x:c>
      <x:c r="C11" s="11" t="n">
        <x:v>3376</x:v>
      </x:c>
      <x:c r="D11" s="11" t="n">
        <x:v>1423563</x:v>
      </x:c>
      <x:c r="E11" s="11" t="n">
        <x:v>1423563</x:v>
      </x:c>
      <x:c r="F11" s="17" t="n">
        <x:v>5.7064817187502435</x:v>
      </x:c>
      <x:c r="G11" s="17" t="n">
        <x:v>13.323047</x:v>
      </x:c>
      <x:c r="H11" s="17" t="n">
        <x:v>2.602817602783519</x:v>
      </x:c>
      <x:c r="I11" s="17" t="n">
        <x:v>0.16747470904374495</x:v>
      </x:c>
      <x:c r="J11" s="17" t="n">
        <x:v>43.44279150245711</x:v>
      </x:c>
      <x:c r="K11" s="17" t="n">
        <x:v>80.62579175748397</x:v>
      </x:c>
    </x:row>
    <x:row r="12" ht="30" customHeight="1">
      <x:c r="A12" s="9" t="str">
        <x:v>FactConsolidation SH 6K</x:v>
      </x:c>
      <x:c r="B12" s="11" t="n">
        <x:v>1</x:v>
      </x:c>
      <x:c r="C12" s="11" t="n">
        <x:v>26</x:v>
      </x:c>
      <x:c r="D12" s="11" t="n">
        <x:v>7082</x:v>
      </x:c>
      <x:c r="E12" s="11" t="n">
        <x:v>7082</x:v>
      </x:c>
      <x:c r="F12" s="17" t="n">
        <x:v>0.14387156528343137</x:v>
      </x:c>
      <x:c r="G12" s="17" t="n">
        <x:v>0.074514</x:v>
      </x:c>
      <x:c r="H12" s="17" t="n">
        <x:v>0.11004252986652621</x:v>
      </x:c>
      <x:c r="I12" s="17" t="n">
        <x:v>0.025949500035494566</x:v>
      </x:c>
      <x:c r="J12" s="17" t="n">
        <x:v>35.47324953251518</x:v>
      </x:c>
      <x:c r="K12" s="17" t="n">
        <x:v>46.946472866693504</x:v>
      </x:c>
    </x:row>
    <x:row r="13" ht="30" customHeight="1">
      <x:c r="A13" s="9" t="str">
        <x:v>FactConsolidation MH 6K</x:v>
      </x:c>
      <x:c r="B13" s="11" t="n">
        <x:v>1</x:v>
      </x:c>
      <x:c r="C13" s="11" t="n">
        <x:v>26</x:v>
      </x:c>
      <x:c r="D13" s="11" t="n">
        <x:v>7082</x:v>
      </x:c>
      <x:c r="E13" s="11" t="n">
        <x:v>7082</x:v>
      </x:c>
      <x:c r="F13" s="17" t="n">
        <x:v>0.13630065068330927</x:v>
      </x:c>
      <x:c r="G13" s="17" t="n">
        <x:v>0.074514</x:v>
      </x:c>
      <x:c r="H13" s="17" t="n">
        <x:v>0.15787229236642208</x:v>
      </x:c>
      <x:c r="I13" s="17" t="n">
        <x:v>0.01734183297958225</x:v>
      </x:c>
      <x:c r="J13" s="17" t="n">
        <x:v>36.31360401050188</x:v>
      </x:c>
      <x:c r="K13" s="17" t="n">
        <x:v>54.42360863089559</x:v>
      </x:c>
    </x:row>
    <x:row r="14" ht="30" customHeight="1">
      <x:c r="A14" s="9" t="str">
        <x:v>FactConsolidation SH 32K</x:v>
      </x:c>
      <x:c r="B14" s="11" t="n">
        <x:v>1</x:v>
      </x:c>
      <x:c r="C14" s="11" t="n">
        <x:v>134</x:v>
      </x:c>
      <x:c r="D14" s="11" t="n">
        <x:v>38279</x:v>
      </x:c>
      <x:c r="E14" s="11" t="n">
        <x:v>38279</x:v>
      </x:c>
      <x:c r="F14" s="17" t="n">
        <x:v>0.24620466666722982</x:v>
      </x:c>
      <x:c r="G14" s="17" t="n">
        <x:v>0.382274</x:v>
      </x:c>
      <x:c r="H14" s="17" t="n">
        <x:v>0.7214211527665612</x:v>
      </x:c>
      <x:c r="I14" s="17" t="n">
        <x:v>0.06141199998091906</x:v>
      </x:c>
      <x:c r="J14" s="17" t="n">
        <x:v>41.432416532188654</x:v>
      </x:c>
      <x:c r="K14" s="17" t="n">
        <x:v>53.35162848932668</x:v>
      </x:c>
    </x:row>
    <x:row r="15" ht="30" customHeight="1">
      <x:c r="A15" s="9" t="str">
        <x:v>FactConsolidation MH 32K</x:v>
      </x:c>
      <x:c r="B15" s="11" t="n">
        <x:v>1</x:v>
      </x:c>
      <x:c r="C15" s="11" t="n">
        <x:v>134</x:v>
      </x:c>
      <x:c r="D15" s="11" t="n">
        <x:v>38279</x:v>
      </x:c>
      <x:c r="E15" s="11" t="n">
        <x:v>38279</x:v>
      </x:c>
      <x:c r="F15" s="17" t="n">
        <x:v>0.3124221757005822</x:v>
      </x:c>
      <x:c r="G15" s="17" t="n">
        <x:v>0.382274</x:v>
      </x:c>
      <x:c r="H15" s="17" t="n">
        <x:v>0.6443203020831182</x:v>
      </x:c>
      <x:c r="I15" s="17" t="n">
        <x:v>0.048750750022009015</x:v>
      </x:c>
      <x:c r="J15" s="17" t="n">
        <x:v>92.869646003237</x:v>
      </x:c>
      <x:c r="K15" s="17" t="n">
        <x:v>139.93529854924418</x:v>
      </x:c>
    </x:row>
    <x:row r="16" ht="30" customHeight="1">
      <x:c r="A16" s="9" t="str">
        <x:v>FactConsolidation SH 64K</x:v>
      </x:c>
      <x:c r="B16" s="11" t="n">
        <x:v>1</x:v>
      </x:c>
      <x:c r="C16" s="11" t="n">
        <x:v>267</x:v>
      </x:c>
      <x:c r="D16" s="11" t="n">
        <x:v>77984</x:v>
      </x:c>
      <x:c r="E16" s="11" t="n">
        <x:v>77984</x:v>
      </x:c>
      <x:c r="F16" s="17" t="n">
        <x:v>0.7065835909665718</x:v>
      </x:c>
      <x:c r="G16" s="17" t="n">
        <x:v>0.761391</x:v>
      </x:c>
      <x:c r="H16" s="17" t="n">
        <x:v>1.1018044458333558</x:v>
      </x:c>
      <x:c r="I16" s="17" t="n">
        <x:v>0.1407443750067614</x:v>
      </x:c>
      <x:c r="J16" s="17" t="n">
        <x:v>72.19699950655922</x:v>
      </x:c>
      <x:c r="K16" s="17" t="n">
        <x:v>131.61271669960115</x:v>
      </x:c>
    </x:row>
    <x:row r="17" ht="30" customHeight="1">
      <x:c r="A17" s="9" t="str">
        <x:v>FactConsolidation MH 64K</x:v>
      </x:c>
      <x:c r="B17" s="11" t="n">
        <x:v>1</x:v>
      </x:c>
      <x:c r="C17" s="11" t="n">
        <x:v>267</x:v>
      </x:c>
      <x:c r="D17" s="11" t="n">
        <x:v>77984</x:v>
      </x:c>
      <x:c r="E17" s="11" t="n">
        <x:v>77984</x:v>
      </x:c>
      <x:c r="F17" s="17" t="n">
        <x:v>0.4840823159669526</x:v>
      </x:c>
      <x:c r="G17" s="17" t="n">
        <x:v>0.761391</x:v>
      </x:c>
      <x:c r="H17" s="17" t="n">
        <x:v>1.0550356965172492</x:v>
      </x:c>
      <x:c r="I17" s="17" t="n">
        <x:v>0.08341912500327453</x:v>
      </x:c>
      <x:c r="J17" s="17" t="n">
        <x:v>66.54414552031085</x:v>
      </x:c>
      <x:c r="K17" s="17" t="n">
        <x:v>148.30163092701693</x:v>
      </x:c>
    </x:row>
    <x:row r="18" ht="30" customHeight="1">
      <x:c r="A18" s="9" t="str">
        <x:v>FactConsolidation SH 262K</x:v>
      </x:c>
      <x:c r="B18" s="11" t="n">
        <x:v>1</x:v>
      </x:c>
      <x:c r="C18" s="11" t="n">
        <x:v>1078</x:v>
      </x:c>
      <x:c r="D18" s="11" t="n">
        <x:v>321873</x:v>
      </x:c>
      <x:c r="E18" s="11" t="n">
        <x:v>321873</x:v>
      </x:c>
      <x:c r="F18" s="17" t="n">
        <x:v>1.1805868625000584</x:v>
      </x:c>
      <x:c r="G18" s="17" t="n">
        <x:v>3.070671</x:v>
      </x:c>
      <x:c r="H18" s="17" t="n">
        <x:v>2.1006262687500565</x:v>
      </x:c>
      <x:c r="I18" s="17" t="n">
        <x:v>0.20657008298439905</x:v>
      </x:c>
      <x:c r="J18" s="17" t="n">
        <x:v>52.5652919895947</x:v>
      </x:c>
      <x:c r="K18" s="17" t="n">
        <x:v>72.61817674152553</x:v>
      </x:c>
    </x:row>
    <x:row r="19" ht="30" customHeight="1">
      <x:c r="A19" s="9" t="str">
        <x:v>FactConsolidation MH 262K</x:v>
      </x:c>
      <x:c r="B19" s="11" t="n">
        <x:v>1</x:v>
      </x:c>
      <x:c r="C19" s="11" t="n">
        <x:v>1078</x:v>
      </x:c>
      <x:c r="D19" s="11" t="n">
        <x:v>321873</x:v>
      </x:c>
      <x:c r="E19" s="11" t="n">
        <x:v>321873</x:v>
      </x:c>
      <x:c r="F19" s="17" t="n">
        <x:v>1.1492241673491663</x:v>
      </x:c>
      <x:c r="G19" s="17" t="n">
        <x:v>3.070671</x:v>
      </x:c>
      <x:c r="H19" s="17" t="n">
        <x:v>2.110735673617455</x:v>
      </x:c>
      <x:c r="I19" s="17" t="n">
        <x:v>0.13494283298496157</x:v>
      </x:c>
      <x:c r="J19" s="17" t="n">
        <x:v>53.77697848598473</x:v>
      </x:c>
      <x:c r="K19" s="17" t="n">
        <x:v>80.42733065376522</x:v>
      </x:c>
    </x:row>
    <x:row r="20" ht="30" customHeight="1">
      <x:c r="A20" s="9" t="str">
        <x:v>PersonaMem v2 32K</x:v>
      </x:c>
      <x:c r="B20" s="11" t="n">
        <x:v>200</x:v>
      </x:c>
      <x:c r="C20" s="11" t="n">
        <x:v>46632</x:v>
      </x:c>
      <x:c r="D20" s="11" t="n">
        <x:v>6718637</x:v>
      </x:c>
      <x:c r="E20" s="11" t="n">
        <x:v>33593.185</x:v>
      </x:c>
      <x:c r="F20" s="17" t="n">
        <x:v>33.03549838629066</x:v>
      </x:c>
      <x:c r="G20" s="17" t="n">
        <x:v>94.458769</x:v>
      </x:c>
      <x:c r="H20" s="17" t="n">
        <x:v>6.4363585312647045</x:v>
      </x:c>
      <x:c r="I20" s="17" t="n">
        <x:v>1.2062140818452463</x:v>
      </x:c>
      <x:c r="J20" s="17" t="n">
        <x:v>69.15516700246371</x:v>
      </x:c>
      <x:c r="K20" s="17" t="n">
        <x:v>104.26906284119478</x:v>
      </x:c>
    </x:row>
    <x:row r="21" ht="30" customHeight="1">
      <x:c r="A21" s="9" t="str">
        <x:v>PersonaMem v2 128K</x:v>
      </x:c>
      <x:c r="B21" s="11" t="n">
        <x:v>200</x:v>
      </x:c>
      <x:c r="C21" s="11" t="n">
        <x:v>199038</x:v>
      </x:c>
      <x:c r="D21" s="11" t="n">
        <x:v>23001920</x:v>
      </x:c>
      <x:c r="E21" s="11" t="n">
        <x:v>115009.6</x:v>
      </x:c>
      <x:c r="F21" s="17" t="n">
        <x:v>122.64603291333673</x:v>
      </x:c>
      <x:c r="G21" s="17" t="n">
        <x:v>355.713371</x:v>
      </x:c>
      <x:c r="H21" s="17" t="n">
        <x:v>6.391581215935488</x:v>
      </x:c>
      <x:c r="I21" s="17" t="n">
        <x:v>1.191674662870355</x:v>
      </x:c>
      <x:c r="J21" s="17" t="n">
        <x:v>67.4069169908762</x:v>
      </x:c>
      <x:c r="K21" s="17" t="n">
        <x:v>107.44952322274915</x:v>
      </x:c>
    </x:row>
    <x:row r="22" ht="30" customHeight="1">
      <x:c r="A22" s="9" t="str">
        <x:v>BEAM 100K</x:v>
      </x:c>
      <x:c r="B22" s="11" t="n">
        <x:v>20</x:v>
      </x:c>
      <x:c r="C22" s="11" t="n">
        <x:v>5732</x:v>
      </x:c>
      <x:c r="D22" s="11" t="n">
        <x:v>2845367</x:v>
      </x:c>
      <x:c r="E22" s="11" t="n">
        <x:v>142268.35</x:v>
      </x:c>
      <x:c r="F22" s="17" t="n">
        <x:v>11.416211465281473</x:v>
      </x:c>
      <x:c r="G22" s="17" t="n">
        <x:v>27.561909</x:v>
      </x:c>
      <x:c r="H22" s="17" t="n">
        <x:v>3.952565018016806</x:v>
      </x:c>
      <x:c r="I22" s="17" t="n">
        <x:v>0.7088183750165626</x:v>
      </x:c>
      <x:c r="J22" s="17" t="n">
        <x:v>67.65185404219665</x:v>
      </x:c>
      <x:c r="K22" s="17" t="n">
        <x:v>108.1095794739667</x:v>
      </x:c>
    </x:row>
    <x:row r="23" ht="30" customHeight="1">
      <x:c r="A23" s="9" t="str">
        <x:v>BEAM 500K</x:v>
      </x:c>
      <x:c r="B23" s="11" t="n">
        <x:v>35</x:v>
      </x:c>
      <x:c r="C23" s="11" t="n">
        <x:v>38058</x:v>
      </x:c>
      <x:c r="D23" s="11" t="n">
        <x:v>19317471</x:v>
      </x:c>
      <x:c r="E23" s="11" t="n">
        <x:v>551927.7428571428</x:v>
      </x:c>
      <x:c r="F23" s="17" t="n">
        <x:v>73.50997077908542</x:v>
      </x:c>
      <x:c r="G23" s="17" t="n">
        <x:v>187.098861</x:v>
      </x:c>
      <x:c r="H23" s="17" t="n">
        <x:v>5.960534927031646</x:v>
      </x:c>
      <x:c r="I23" s="17" t="n">
        <x:v>0.9601083740126342</x:v>
      </x:c>
      <x:c r="J23" s="17" t="n">
        <x:v>61.37458299053833</x:v>
      </x:c>
      <x:c r="K23" s="17" t="n">
        <x:v>87.89552053494843</x:v>
      </x:c>
    </x:row>
    <x:row r="24" ht="30" customHeight="1">
      <x:c r="A24" s="9" t="str">
        <x:v>BEAM 1M</x:v>
      </x:c>
      <x:c r="B24" s="11" t="n">
        <x:v>35</x:v>
      </x:c>
      <x:c r="C24" s="11" t="n">
        <x:v>74630</x:v>
      </x:c>
      <x:c r="D24" s="11" t="n">
        <x:v>39717906</x:v>
      </x:c>
      <x:c r="E24" s="11" t="n">
        <x:v>1134797.3142857142</x:v>
      </x:c>
      <x:c r="F24" s="17" t="n">
        <x:v>148.97810718956947</x:v>
      </x:c>
      <x:c r="G24" s="17" t="n">
        <x:v>387.061111</x:v>
      </x:c>
      <x:c r="H24" s="17" t="n">
        <x:v>5.61967927783359</x:v>
      </x:c>
      <x:c r="I24" s="17" t="n">
        <x:v>1.026919376978185</x:v>
      </x:c>
      <x:c r="J24" s="17" t="n">
        <x:v>64.26068750442937</x:v>
      </x:c>
      <x:c r="K24" s="17" t="n">
        <x:v>112.22660238854577</x:v>
      </x:c>
    </x:row>
  </x:sheetData>
  <x:mergeCells>
    <x:mergeCell ref="A2:K3"/>
  </x:mergeCells>
  <x:pageMargins left="0.7" right="0.7" top="0.75" bottom="0.75" header="0.3" footer="0.3"/>
  <x:tableParts count="1">
    <x:tablePart xmlns:r="http://schemas.openxmlformats.org/officeDocument/2006/relationships" r:id="R95456bc986e94f2b"/>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1" hidden="0" customWidth="1"/>
    <x:col min="3" max="3" width="12" hidden="0" customWidth="1"/>
    <x:col min="4" max="4" width="18" hidden="0" customWidth="1"/>
    <x:col min="5" max="5" width="18" hidden="0" customWidth="1"/>
    <x:col min="6" max="6" width="20" hidden="0" customWidth="1"/>
    <x:col min="7" max="7" width="12" hidden="0" customWidth="1"/>
    <x:col min="8" max="8" width="12" hidden="0" customWidth="1"/>
    <x:col min="9" max="9" width="20" hidden="0" customWidth="1"/>
    <x:col min="10" max="10" width="20" hidden="0" customWidth="1"/>
    <x:col min="11" max="11" width="20" hidden="0" customWidth="1"/>
    <x:col min="12" max="12" width="18" hidden="0" customWidth="1"/>
  </x:cols>
  <x:sheetData>
    <x:row r="1" ht="32" customHeight="1">
      <x:c r="A1" s="3" t="str">
        <x:v>Reader token use and latency</x:v>
      </x:c>
      <x:c r="B1" s="2"/>
      <x:c r="C1" s="2"/>
      <x:c r="D1" s="2"/>
      <x:c r="E1" s="2"/>
      <x:c r="F1" s="2"/>
      <x:c r="G1" s="2"/>
      <x:c r="H1" s="2"/>
      <x:c r="I1" s="2"/>
      <x:c r="J1" s="2"/>
      <x:c r="K1" s="2"/>
      <x:c r="L1" s="2"/>
    </x:row>
    <x:row r="2" ht="22" customHeight="1">
      <x:c r="A2" s="5" t="str">
        <x:v>Reader p50/p95 exclude cached calls and omit retrieval, fact setup and judging. Input/output use provider tokens; evidence uses MiniLM WordPiece. Empty answers score zero. Source: saved per-question answers.</x:v>
      </x:c>
      <x:c r="B2" s="5"/>
      <x:c r="C2" s="5"/>
      <x:c r="D2" s="5"/>
      <x:c r="E2" s="5"/>
      <x:c r="F2" s="5"/>
      <x:c r="G2" s="5"/>
      <x:c r="H2" s="5"/>
      <x:c r="I2" s="5"/>
      <x:c r="J2" s="5"/>
      <x:c r="K2" s="5"/>
      <x:c r="L2" s="5"/>
    </x:row>
    <x:row r="3" ht="22" customHeight="1">
      <x:c r="A3" s="5"/>
      <x:c r="B3" s="5"/>
      <x:c r="C3" s="5"/>
      <x:c r="D3" s="5"/>
      <x:c r="E3" s="5"/>
      <x:c r="F3" s="5"/>
      <x:c r="G3" s="5"/>
      <x:c r="H3" s="5"/>
      <x:c r="I3" s="5"/>
      <x:c r="J3" s="5"/>
      <x:c r="K3" s="5"/>
      <x:c r="L3" s="5"/>
    </x:row>
    <x:row r="4" ht="10" customHeight="1">
      <x:c r="A4" s="2"/>
      <x:c r="B4" s="2"/>
      <x:c r="C4" s="2"/>
      <x:c r="D4" s="2"/>
      <x:c r="E4" s="2"/>
      <x:c r="F4" s="2"/>
      <x:c r="G4" s="2"/>
      <x:c r="H4" s="2"/>
      <x:c r="I4" s="2"/>
      <x:c r="J4" s="2"/>
      <x:c r="K4" s="2"/>
      <x:c r="L4" s="2"/>
    </x:row>
    <x:row r="5" ht="48" customHeight="1">
      <x:c r="A5" s="8" t="str">
        <x:v>Test</x:v>
      </x:c>
      <x:c r="B5" s="8" t="str">
        <x:v>Arm</x:v>
      </x:c>
      <x:c r="C5" s="8" t="str">
        <x:v>Questions</x:v>
      </x:c>
      <x:c r="D5" s="8" t="str">
        <x:v>Input tokens</x:v>
      </x:c>
      <x:c r="E5" s="8" t="str">
        <x:v>Output tokens</x:v>
      </x:c>
      <x:c r="F5" s="8" t="str">
        <x:v>Mean evidence tokens</x:v>
      </x:c>
      <x:c r="G5" s="8" t="str">
        <x:v>Cached Q</x:v>
      </x:c>
      <x:c r="H5" s="8" t="str">
        <x:v>Empty Q</x:v>
      </x:c>
      <x:c r="I5" s="8" t="str">
        <x:v>Reader p50 seconds</x:v>
      </x:c>
      <x:c r="J5" s="8" t="str">
        <x:v>Reader p95 seconds</x:v>
      </x:c>
      <x:c r="K5" s="8" t="str">
        <x:v>Max evidence tokens</x:v>
      </x:c>
      <x:c r="L5" s="8" t="str">
        <x:v>Over 4K questions</x:v>
      </x:c>
    </x:row>
    <x:row r="6" ht="30" customHeight="1">
      <x:c r="A6" s="9" t="str">
        <x:v>LoCoMo</x:v>
      </x:c>
      <x:c r="B6" s="9" t="str">
        <x:v>A full</x:v>
      </x:c>
      <x:c r="C6" s="11" t="n">
        <x:v>1540</x:v>
      </x:c>
      <x:c r="D6" s="11" t="n">
        <x:v>7379130</x:v>
      </x:c>
      <x:c r="E6" s="11" t="n">
        <x:v>755790</x:v>
      </x:c>
      <x:c r="F6" s="17" t="n">
        <x:v>3997.0435064935064</x:v>
      </x:c>
      <x:c r="G6" s="11" t="n">
        <x:v>12</x:v>
      </x:c>
      <x:c r="H6" s="11" t="n">
        <x:v>0</x:v>
      </x:c>
      <x:c r="I6" s="17" t="n">
        <x:v>3.59659729199484</x:v>
      </x:c>
      <x:c r="J6" s="17" t="n">
        <x:v>5.710284774459432</x:v>
      </x:c>
      <x:c r="K6" s="11" t="n">
        <x:v>4000</x:v>
      </x:c>
      <x:c r="L6" s="11" t="n">
        <x:v>0</x:v>
      </x:c>
    </x:row>
    <x:row r="7" ht="30" customHeight="1">
      <x:c r="A7" s="9" t="str">
        <x:v>LoCoMo</x:v>
      </x:c>
      <x:c r="B7" s="9" t="str">
        <x:v>A</x:v>
      </x:c>
      <x:c r="C7" s="11" t="n">
        <x:v>77</x:v>
      </x:c>
      <x:c r="D7" s="11" t="n">
        <x:v>369021</x:v>
      </x:c>
      <x:c r="E7" s="11" t="n">
        <x:v>40871</x:v>
      </x:c>
      <x:c r="F7" s="17" t="n">
        <x:v>3998.090909090909</x:v>
      </x:c>
      <x:c r="G7" s="11" t="n">
        <x:v>1</x:v>
      </x:c>
      <x:c r="H7" s="11" t="n">
        <x:v>0</x:v>
      </x:c>
      <x:c r="I7" s="17" t="n">
        <x:v>4.08032574999379</x:v>
      </x:c>
      <x:c r="J7" s="17" t="n">
        <x:v>5.656926947995089</x:v>
      </x:c>
      <x:c r="K7" s="11" t="n">
        <x:v>4000</x:v>
      </x:c>
      <x:c r="L7" s="11" t="n">
        <x:v>0</x:v>
      </x:c>
    </x:row>
    <x:row r="8" ht="30" customHeight="1">
      <x:c r="A8" s="9" t="str">
        <x:v>LoCoMo</x:v>
      </x:c>
      <x:c r="B8" s="9" t="str">
        <x:v>B</x:v>
      </x:c>
      <x:c r="C8" s="11" t="n">
        <x:v>77</x:v>
      </x:c>
      <x:c r="D8" s="11" t="n">
        <x:v>370482</x:v>
      </x:c>
      <x:c r="E8" s="11" t="n">
        <x:v>39681</x:v>
      </x:c>
      <x:c r="F8" s="17" t="n">
        <x:v>3998.6363636363635</x:v>
      </x:c>
      <x:c r="G8" s="11" t="n">
        <x:v>3</x:v>
      </x:c>
      <x:c r="H8" s="11" t="n">
        <x:v>0</x:v>
      </x:c>
      <x:c r="I8" s="17" t="n">
        <x:v>3.7855854994850233</x:v>
      </x:c>
      <x:c r="J8" s="17" t="n">
        <x:v>5.844363778928527</x:v>
      </x:c>
      <x:c r="K8" s="11" t="n">
        <x:v>4000</x:v>
      </x:c>
      <x:c r="L8" s="11" t="n">
        <x:v>0</x:v>
      </x:c>
    </x:row>
    <x:row r="9" ht="30" customHeight="1">
      <x:c r="A9" s="9" t="str">
        <x:v>LoCoMo</x:v>
      </x:c>
      <x:c r="B9" s="9" t="str">
        <x:v>C</x:v>
      </x:c>
      <x:c r="C9" s="11" t="n">
        <x:v>77</x:v>
      </x:c>
      <x:c r="D9" s="11" t="n">
        <x:v>373821</x:v>
      </x:c>
      <x:c r="E9" s="11" t="n">
        <x:v>40753</x:v>
      </x:c>
      <x:c r="F9" s="17" t="n">
        <x:v>3997.5844155844156</x:v>
      </x:c>
      <x:c r="G9" s="11" t="n">
        <x:v>3</x:v>
      </x:c>
      <x:c r="H9" s="11" t="n">
        <x:v>0</x:v>
      </x:c>
      <x:c r="I9" s="17" t="n">
        <x:v>4.093157645489555</x:v>
      </x:c>
      <x:c r="J9" s="17" t="n">
        <x:v>5.633315816448885</x:v>
      </x:c>
      <x:c r="K9" s="11" t="n">
        <x:v>4000</x:v>
      </x:c>
      <x:c r="L9" s="11" t="n">
        <x:v>0</x:v>
      </x:c>
    </x:row>
    <x:row r="10" ht="30" customHeight="1">
      <x:c r="A10" s="9" t="str">
        <x:v>LoCoMo</x:v>
      </x:c>
      <x:c r="B10" s="9" t="str">
        <x:v>D</x:v>
      </x:c>
      <x:c r="C10" s="11" t="n">
        <x:v>77</x:v>
      </x:c>
      <x:c r="D10" s="11" t="n">
        <x:v>377366</x:v>
      </x:c>
      <x:c r="E10" s="11" t="n">
        <x:v>41491</x:v>
      </x:c>
      <x:c r="F10" s="17" t="n">
        <x:v>3997.818181818182</x:v>
      </x:c>
      <x:c r="G10" s="11" t="n">
        <x:v>0</x:v>
      </x:c>
      <x:c r="H10" s="11" t="n">
        <x:v>0</x:v>
      </x:c>
      <x:c r="I10" s="17" t="n">
        <x:v>4.091284624999389</x:v>
      </x:c>
      <x:c r="J10" s="17" t="n">
        <x:v>5.897294875595253</x:v>
      </x:c>
      <x:c r="K10" s="11" t="n">
        <x:v>4000</x:v>
      </x:c>
      <x:c r="L10" s="11" t="n">
        <x:v>0</x:v>
      </x:c>
    </x:row>
    <x:row r="11" ht="30" customHeight="1">
      <x:c r="A11" s="9" t="str">
        <x:v>LoCoMo adversarial</x:v>
      </x:c>
      <x:c r="B11" s="9" t="str">
        <x:v>A full</x:v>
      </x:c>
      <x:c r="C11" s="11" t="n">
        <x:v>446</x:v>
      </x:c>
      <x:c r="D11" s="11" t="n">
        <x:v>2133233</x:v>
      </x:c>
      <x:c r="E11" s="11" t="n">
        <x:v>272476</x:v>
      </x:c>
      <x:c r="F11" s="17" t="n">
        <x:v>3996.5336322869957</x:v>
      </x:c>
      <x:c r="G11" s="11" t="n">
        <x:v>1</x:v>
      </x:c>
      <x:c r="H11" s="11" t="n">
        <x:v>0</x:v>
      </x:c>
      <x:c r="I11" s="17" t="n">
        <x:v>4.442324291972909</x:v>
      </x:c>
      <x:c r="J11" s="17" t="n">
        <x:v>5.864840982796157</x:v>
      </x:c>
      <x:c r="K11" s="11" t="n">
        <x:v>4000</x:v>
      </x:c>
      <x:c r="L11" s="11" t="n">
        <x:v>0</x:v>
      </x:c>
    </x:row>
    <x:row r="12" ht="30" customHeight="1">
      <x:c r="A12" s="9" t="str">
        <x:v>LoCoMo adversarial</x:v>
      </x:c>
      <x:c r="B12" s="9" t="str">
        <x:v>A</x:v>
      </x:c>
      <x:c r="C12" s="11" t="n">
        <x:v>23</x:v>
      </x:c>
      <x:c r="D12" s="11" t="n">
        <x:v>109853</x:v>
      </x:c>
      <x:c r="E12" s="11" t="n">
        <x:v>14228</x:v>
      </x:c>
      <x:c r="F12" s="17" t="n">
        <x:v>3994.782608695652</x:v>
      </x:c>
      <x:c r="G12" s="11" t="n">
        <x:v>0</x:v>
      </x:c>
      <x:c r="H12" s="11" t="n">
        <x:v>0</x:v>
      </x:c>
      <x:c r="I12" s="17" t="n">
        <x:v>4.425312375009526</x:v>
      </x:c>
      <x:c r="J12" s="17" t="n">
        <x:v>6.106710308080073</x:v>
      </x:c>
      <x:c r="K12" s="11" t="n">
        <x:v>4000</x:v>
      </x:c>
      <x:c r="L12" s="11" t="n">
        <x:v>0</x:v>
      </x:c>
    </x:row>
    <x:row r="13" ht="30" customHeight="1">
      <x:c r="A13" s="9" t="str">
        <x:v>LoCoMo adversarial</x:v>
      </x:c>
      <x:c r="B13" s="9" t="str">
        <x:v>B</x:v>
      </x:c>
      <x:c r="C13" s="11" t="n">
        <x:v>23</x:v>
      </x:c>
      <x:c r="D13" s="11" t="n">
        <x:v>110274</x:v>
      </x:c>
      <x:c r="E13" s="11" t="n">
        <x:v>14557</x:v>
      </x:c>
      <x:c r="F13" s="17" t="n">
        <x:v>3994.7391304347825</x:v>
      </x:c>
      <x:c r="G13" s="11" t="n">
        <x:v>0</x:v>
      </x:c>
      <x:c r="H13" s="11" t="n">
        <x:v>0</x:v>
      </x:c>
      <x:c r="I13" s="17" t="n">
        <x:v>4.355196917022113</x:v>
      </x:c>
      <x:c r="J13" s="17" t="n">
        <x:v>5.864833949675085</x:v>
      </x:c>
      <x:c r="K13" s="11" t="n">
        <x:v>4000</x:v>
      </x:c>
      <x:c r="L13" s="11" t="n">
        <x:v>0</x:v>
      </x:c>
    </x:row>
    <x:row r="14" ht="30" customHeight="1">
      <x:c r="A14" s="9" t="str">
        <x:v>LoCoMo adversarial</x:v>
      </x:c>
      <x:c r="B14" s="9" t="str">
        <x:v>C</x:v>
      </x:c>
      <x:c r="C14" s="11" t="n">
        <x:v>23</x:v>
      </x:c>
      <x:c r="D14" s="11" t="n">
        <x:v>111396</x:v>
      </x:c>
      <x:c r="E14" s="11" t="n">
        <x:v>14950</x:v>
      </x:c>
      <x:c r="F14" s="17" t="n">
        <x:v>3996.695652173913</x:v>
      </x:c>
      <x:c r="G14" s="11" t="n">
        <x:v>0</x:v>
      </x:c>
      <x:c r="H14" s="11" t="n">
        <x:v>0</x:v>
      </x:c>
      <x:c r="I14" s="17" t="n">
        <x:v>5.0120510419947095</x:v>
      </x:c>
      <x:c r="J14" s="17" t="n">
        <x:v>5.566123999713454</x:v>
      </x:c>
      <x:c r="K14" s="11" t="n">
        <x:v>4000</x:v>
      </x:c>
      <x:c r="L14" s="11" t="n">
        <x:v>0</x:v>
      </x:c>
    </x:row>
    <x:row r="15" ht="30" customHeight="1">
      <x:c r="A15" s="9" t="str">
        <x:v>LoCoMo adversarial</x:v>
      </x:c>
      <x:c r="B15" s="9" t="str">
        <x:v>D</x:v>
      </x:c>
      <x:c r="C15" s="11" t="n">
        <x:v>23</x:v>
      </x:c>
      <x:c r="D15" s="11" t="n">
        <x:v>112152</x:v>
      </x:c>
      <x:c r="E15" s="11" t="n">
        <x:v>14105</x:v>
      </x:c>
      <x:c r="F15" s="17" t="n">
        <x:v>3995.9565217391305</x:v>
      </x:c>
      <x:c r="G15" s="11" t="n">
        <x:v>0</x:v>
      </x:c>
      <x:c r="H15" s="11" t="n">
        <x:v>0</x:v>
      </x:c>
      <x:c r="I15" s="17" t="n">
        <x:v>4.272279916040134</x:v>
      </x:c>
      <x:c r="J15" s="17" t="n">
        <x:v>5.766918445186456</x:v>
      </x:c>
      <x:c r="K15" s="11" t="n">
        <x:v>4000</x:v>
      </x:c>
      <x:c r="L15" s="11" t="n">
        <x:v>0</x:v>
      </x:c>
    </x:row>
    <x:row r="16" ht="30" customHeight="1">
      <x:c r="A16" s="9" t="str">
        <x:v>MuSiQue</x:v>
      </x:c>
      <x:c r="B16" s="9" t="str">
        <x:v>A full</x:v>
      </x:c>
      <x:c r="C16" s="11" t="n">
        <x:v>1000</x:v>
      </x:c>
      <x:c r="D16" s="11" t="n">
        <x:v>4613245</x:v>
      </x:c>
      <x:c r="E16" s="11" t="n">
        <x:v>638607</x:v>
      </x:c>
      <x:c r="F16" s="17" t="n">
        <x:v>3998.924</x:v>
      </x:c>
      <x:c r="G16" s="11" t="n">
        <x:v>12</x:v>
      </x:c>
      <x:c r="H16" s="11" t="n">
        <x:v>0</x:v>
      </x:c>
      <x:c r="I16" s="17" t="n">
        <x:v>4.577452041499782</x:v>
      </x:c>
      <x:c r="J16" s="17" t="n">
        <x:v>5.717187240964267</x:v>
      </x:c>
      <x:c r="K16" s="11" t="n">
        <x:v>4001</x:v>
      </x:c>
      <x:c r="L16" s="11" t="n">
        <x:v>1</x:v>
      </x:c>
    </x:row>
    <x:row r="17" ht="30" customHeight="1">
      <x:c r="A17" s="9" t="str">
        <x:v>MuSiQue</x:v>
      </x:c>
      <x:c r="B17" s="9" t="str">
        <x:v>A</x:v>
      </x:c>
      <x:c r="C17" s="11" t="n">
        <x:v>100</x:v>
      </x:c>
      <x:c r="D17" s="11" t="n">
        <x:v>459821</x:v>
      </x:c>
      <x:c r="E17" s="11" t="n">
        <x:v>62638</x:v>
      </x:c>
      <x:c r="F17" s="17" t="n">
        <x:v>3999.38</x:v>
      </x:c>
      <x:c r="G17" s="11" t="n">
        <x:v>0</x:v>
      </x:c>
      <x:c r="H17" s="11" t="n">
        <x:v>0</x:v>
      </x:c>
      <x:c r="I17" s="17" t="n">
        <x:v>4.504882979003014</x:v>
      </x:c>
      <x:c r="J17" s="17" t="n">
        <x:v>5.578710160392802</x:v>
      </x:c>
      <x:c r="K17" s="11" t="n">
        <x:v>4000</x:v>
      </x:c>
      <x:c r="L17" s="11" t="n">
        <x:v>0</x:v>
      </x:c>
    </x:row>
    <x:row r="18" ht="30" customHeight="1">
      <x:c r="A18" s="9" t="str">
        <x:v>MuSiQue</x:v>
      </x:c>
      <x:c r="B18" s="9" t="str">
        <x:v>B</x:v>
      </x:c>
      <x:c r="C18" s="11" t="n">
        <x:v>100</x:v>
      </x:c>
      <x:c r="D18" s="11" t="n">
        <x:v>462172</x:v>
      </x:c>
      <x:c r="E18" s="11" t="n">
        <x:v>63806</x:v>
      </x:c>
      <x:c r="F18" s="17" t="n">
        <x:v>3998.49</x:v>
      </x:c>
      <x:c r="G18" s="11" t="n">
        <x:v>1</x:v>
      </x:c>
      <x:c r="H18" s="11" t="n">
        <x:v>0</x:v>
      </x:c>
      <x:c r="I18" s="17" t="n">
        <x:v>4.848544165957719</x:v>
      </x:c>
      <x:c r="J18" s="17" t="n">
        <x:v>6.020671720820246</x:v>
      </x:c>
      <x:c r="K18" s="11" t="n">
        <x:v>4000</x:v>
      </x:c>
      <x:c r="L18" s="11" t="n">
        <x:v>0</x:v>
      </x:c>
    </x:row>
    <x:row r="19" ht="30" customHeight="1">
      <x:c r="A19" s="9" t="str">
        <x:v>MuSiQue</x:v>
      </x:c>
      <x:c r="B19" s="9" t="str">
        <x:v>C</x:v>
      </x:c>
      <x:c r="C19" s="11" t="n">
        <x:v>100</x:v>
      </x:c>
      <x:c r="D19" s="11" t="n">
        <x:v>463169</x:v>
      </x:c>
      <x:c r="E19" s="11" t="n">
        <x:v>63579</x:v>
      </x:c>
      <x:c r="F19" s="17" t="n">
        <x:v>3998.41</x:v>
      </x:c>
      <x:c r="G19" s="11" t="n">
        <x:v>43</x:v>
      </x:c>
      <x:c r="H19" s="11" t="n">
        <x:v>0</x:v>
      </x:c>
      <x:c r="I19" s="17" t="n">
        <x:v>4.620715040946379</x:v>
      </x:c>
      <x:c r="J19" s="17" t="n">
        <x:v>5.61026065798942</x:v>
      </x:c>
      <x:c r="K19" s="11" t="n">
        <x:v>4000</x:v>
      </x:c>
      <x:c r="L19" s="11" t="n">
        <x:v>0</x:v>
      </x:c>
    </x:row>
    <x:row r="20" ht="30" customHeight="1">
      <x:c r="A20" s="9" t="str">
        <x:v>MuSiQue</x:v>
      </x:c>
      <x:c r="B20" s="9" t="str">
        <x:v>D</x:v>
      </x:c>
      <x:c r="C20" s="11" t="n">
        <x:v>100</x:v>
      </x:c>
      <x:c r="D20" s="11" t="n">
        <x:v>464025</x:v>
      </x:c>
      <x:c r="E20" s="11" t="n">
        <x:v>63331</x:v>
      </x:c>
      <x:c r="F20" s="17" t="n">
        <x:v>3998.89</x:v>
      </x:c>
      <x:c r="G20" s="11" t="n">
        <x:v>3</x:v>
      </x:c>
      <x:c r="H20" s="11" t="n">
        <x:v>0</x:v>
      </x:c>
      <x:c r="I20" s="17" t="n">
        <x:v>4.685615207999945</x:v>
      </x:c>
      <x:c r="J20" s="17" t="n">
        <x:v>5.6634937498252835</x:v>
      </x:c>
      <x:c r="K20" s="11" t="n">
        <x:v>4000</x:v>
      </x:c>
      <x:c r="L20" s="11" t="n">
        <x:v>0</x:v>
      </x:c>
    </x:row>
    <x:row r="21" ht="30" customHeight="1">
      <x:c r="A21" s="9" t="str">
        <x:v>2WikiMultiHopQA</x:v>
      </x:c>
      <x:c r="B21" s="9" t="str">
        <x:v>A full</x:v>
      </x:c>
      <x:c r="C21" s="11" t="n">
        <x:v>1000</x:v>
      </x:c>
      <x:c r="D21" s="11" t="n">
        <x:v>4651974</x:v>
      </x:c>
      <x:c r="E21" s="11" t="n">
        <x:v>526324</x:v>
      </x:c>
      <x:c r="F21" s="17" t="n">
        <x:v>3998.943</x:v>
      </x:c>
      <x:c r="G21" s="11" t="n">
        <x:v>1</x:v>
      </x:c>
      <x:c r="H21" s="11" t="n">
        <x:v>3</x:v>
      </x:c>
      <x:c r="I21" s="17" t="n">
        <x:v>4.064615583978593</x:v>
      </x:c>
      <x:c r="J21" s="17" t="n">
        <x:v>5.47883571278071</x:v>
      </x:c>
      <x:c r="K21" s="11" t="n">
        <x:v>4000</x:v>
      </x:c>
      <x:c r="L21" s="11" t="n">
        <x:v>0</x:v>
      </x:c>
    </x:row>
    <x:row r="22" ht="30" customHeight="1">
      <x:c r="A22" s="9" t="str">
        <x:v>2WikiMultiHopQA</x:v>
      </x:c>
      <x:c r="B22" s="9" t="str">
        <x:v>A</x:v>
      </x:c>
      <x:c r="C22" s="11" t="n">
        <x:v>100</x:v>
      </x:c>
      <x:c r="D22" s="11" t="n">
        <x:v>464270</x:v>
      </x:c>
      <x:c r="E22" s="11" t="n">
        <x:v>54233</x:v>
      </x:c>
      <x:c r="F22" s="17" t="n">
        <x:v>3998.92</x:v>
      </x:c>
      <x:c r="G22" s="11" t="n">
        <x:v>0</x:v>
      </x:c>
      <x:c r="H22" s="11" t="n">
        <x:v>0</x:v>
      </x:c>
      <x:c r="I22" s="17" t="n">
        <x:v>4.094435937498929</x:v>
      </x:c>
      <x:c r="J22" s="17" t="n">
        <x:v>5.601948687175172</x:v>
      </x:c>
      <x:c r="K22" s="11" t="n">
        <x:v>4000</x:v>
      </x:c>
      <x:c r="L22" s="11" t="n">
        <x:v>0</x:v>
      </x:c>
    </x:row>
    <x:row r="23" ht="30" customHeight="1">
      <x:c r="A23" s="9" t="str">
        <x:v>2WikiMultiHopQA</x:v>
      </x:c>
      <x:c r="B23" s="9" t="str">
        <x:v>B</x:v>
      </x:c>
      <x:c r="C23" s="11" t="n">
        <x:v>100</x:v>
      </x:c>
      <x:c r="D23" s="11" t="n">
        <x:v>466861</x:v>
      </x:c>
      <x:c r="E23" s="11" t="n">
        <x:v>55695</x:v>
      </x:c>
      <x:c r="F23" s="17" t="n">
        <x:v>3999.33</x:v>
      </x:c>
      <x:c r="G23" s="11" t="n">
        <x:v>0</x:v>
      </x:c>
      <x:c r="H23" s="11" t="n">
        <x:v>0</x:v>
      </x:c>
      <x:c r="I23" s="17" t="n">
        <x:v>4.365474271005951</x:v>
      </x:c>
      <x:c r="J23" s="17" t="n">
        <x:v>5.697760154205025</x:v>
      </x:c>
      <x:c r="K23" s="11" t="n">
        <x:v>4000</x:v>
      </x:c>
      <x:c r="L23" s="11" t="n">
        <x:v>0</x:v>
      </x:c>
    </x:row>
    <x:row r="24" ht="30" customHeight="1">
      <x:c r="A24" s="9" t="str">
        <x:v>2WikiMultiHopQA</x:v>
      </x:c>
      <x:c r="B24" s="9" t="str">
        <x:v>C</x:v>
      </x:c>
      <x:c r="C24" s="11" t="n">
        <x:v>100</x:v>
      </x:c>
      <x:c r="D24" s="11" t="n">
        <x:v>467057</x:v>
      </x:c>
      <x:c r="E24" s="11" t="n">
        <x:v>55585</x:v>
      </x:c>
      <x:c r="F24" s="17" t="n">
        <x:v>3999.17</x:v>
      </x:c>
      <x:c r="G24" s="11" t="n">
        <x:v>60</x:v>
      </x:c>
      <x:c r="H24" s="11" t="n">
        <x:v>0</x:v>
      </x:c>
      <x:c r="I24" s="17" t="n">
        <x:v>4.275798604503507</x:v>
      </x:c>
      <x:c r="J24" s="17" t="n">
        <x:v>5.618720933649456</x:v>
      </x:c>
      <x:c r="K24" s="11" t="n">
        <x:v>4000</x:v>
      </x:c>
      <x:c r="L24" s="11" t="n">
        <x:v>0</x:v>
      </x:c>
    </x:row>
    <x:row r="25" ht="30" customHeight="1">
      <x:c r="A25" s="9" t="str">
        <x:v>2WikiMultiHopQA</x:v>
      </x:c>
      <x:c r="B25" s="9" t="str">
        <x:v>D</x:v>
      </x:c>
      <x:c r="C25" s="11" t="n">
        <x:v>100</x:v>
      </x:c>
      <x:c r="D25" s="11" t="n">
        <x:v>469945</x:v>
      </x:c>
      <x:c r="E25" s="11" t="n">
        <x:v>57384</x:v>
      </x:c>
      <x:c r="F25" s="17" t="n">
        <x:v>3999.2</x:v>
      </x:c>
      <x:c r="G25" s="11" t="n">
        <x:v>0</x:v>
      </x:c>
      <x:c r="H25" s="11" t="n">
        <x:v>0</x:v>
      </x:c>
      <x:c r="I25" s="17" t="n">
        <x:v>4.106398000003537</x:v>
      </x:c>
      <x:c r="J25" s="17" t="n">
        <x:v>5.35761368481908</x:v>
      </x:c>
      <x:c r="K25" s="11" t="n">
        <x:v>4000</x:v>
      </x:c>
      <x:c r="L25" s="11" t="n">
        <x:v>0</x:v>
      </x:c>
    </x:row>
    <x:row r="26" ht="30" customHeight="1">
      <x:c r="A26" s="9" t="str">
        <x:v>LongMemEval S</x:v>
      </x:c>
      <x:c r="B26" s="9" t="str">
        <x:v>A full</x:v>
      </x:c>
      <x:c r="C26" s="11" t="n">
        <x:v>500</x:v>
      </x:c>
      <x:c r="D26" s="11" t="n">
        <x:v>2085219</x:v>
      </x:c>
      <x:c r="E26" s="11" t="n">
        <x:v>260373</x:v>
      </x:c>
      <x:c r="F26" s="17" t="n">
        <x:v>3999.614</x:v>
      </x:c>
      <x:c r="G26" s="11" t="n">
        <x:v>0</x:v>
      </x:c>
      <x:c r="H26" s="11" t="n">
        <x:v>0</x:v>
      </x:c>
      <x:c r="I26" s="17" t="n">
        <x:v>3.625224208488362</x:v>
      </x:c>
      <x:c r="J26" s="17" t="n">
        <x:v>5.674742516310652</x:v>
      </x:c>
      <x:c r="K26" s="11" t="n">
        <x:v>4000</x:v>
      </x:c>
      <x:c r="L26" s="11" t="n">
        <x:v>0</x:v>
      </x:c>
    </x:row>
    <x:row r="27" ht="30" customHeight="1">
      <x:c r="A27" s="9" t="str">
        <x:v>LongMemEval S</x:v>
      </x:c>
      <x:c r="B27" s="9" t="str">
        <x:v>A</x:v>
      </x:c>
      <x:c r="C27" s="11" t="n">
        <x:v>100</x:v>
      </x:c>
      <x:c r="D27" s="11" t="n">
        <x:v>418146</x:v>
      </x:c>
      <x:c r="E27" s="11" t="n">
        <x:v>54601</x:v>
      </x:c>
      <x:c r="F27" s="17" t="n">
        <x:v>3999.62</x:v>
      </x:c>
      <x:c r="G27" s="11" t="n">
        <x:v>0</x:v>
      </x:c>
      <x:c r="H27" s="11" t="n">
        <x:v>0</x:v>
      </x:c>
      <x:c r="I27" s="17" t="n">
        <x:v>3.8430730630352627</x:v>
      </x:c>
      <x:c r="J27" s="17" t="n">
        <x:v>5.6851172767142995</x:v>
      </x:c>
      <x:c r="K27" s="11" t="n">
        <x:v>4000</x:v>
      </x:c>
      <x:c r="L27" s="11" t="n">
        <x:v>0</x:v>
      </x:c>
    </x:row>
    <x:row r="28" ht="30" customHeight="1">
      <x:c r="A28" s="9" t="str">
        <x:v>LongMemEval S</x:v>
      </x:c>
      <x:c r="B28" s="9" t="str">
        <x:v>B</x:v>
      </x:c>
      <x:c r="C28" s="11" t="n">
        <x:v>100</x:v>
      </x:c>
      <x:c r="D28" s="11" t="n">
        <x:v>420242</x:v>
      </x:c>
      <x:c r="E28" s="11" t="n">
        <x:v>53371</x:v>
      </x:c>
      <x:c r="F28" s="17" t="n">
        <x:v>3999.22</x:v>
      </x:c>
      <x:c r="G28" s="11" t="n">
        <x:v>17</x:v>
      </x:c>
      <x:c r="H28" s="11" t="n">
        <x:v>0</x:v>
      </x:c>
      <x:c r="I28" s="17" t="n">
        <x:v>3.779985834029503</x:v>
      </x:c>
      <x:c r="J28" s="17" t="n">
        <x:v>6.02271975451149</x:v>
      </x:c>
      <x:c r="K28" s="11" t="n">
        <x:v>4000</x:v>
      </x:c>
      <x:c r="L28" s="11" t="n">
        <x:v>0</x:v>
      </x:c>
    </x:row>
    <x:row r="29" ht="30" customHeight="1">
      <x:c r="A29" s="9" t="str">
        <x:v>LongMemEval S</x:v>
      </x:c>
      <x:c r="B29" s="9" t="str">
        <x:v>C</x:v>
      </x:c>
      <x:c r="C29" s="11" t="n">
        <x:v>100</x:v>
      </x:c>
      <x:c r="D29" s="11" t="n">
        <x:v>427968</x:v>
      </x:c>
      <x:c r="E29" s="11" t="n">
        <x:v>53069</x:v>
      </x:c>
      <x:c r="F29" s="17" t="n">
        <x:v>3999</x:v>
      </x:c>
      <x:c r="G29" s="11" t="n">
        <x:v>17</x:v>
      </x:c>
      <x:c r="H29" s="11" t="n">
        <x:v>0</x:v>
      </x:c>
      <x:c r="I29" s="17" t="n">
        <x:v>3.7629487910307944</x:v>
      </x:c>
      <x:c r="J29" s="17" t="n">
        <x:v>5.82055646670633</x:v>
      </x:c>
      <x:c r="K29" s="11" t="n">
        <x:v>4000</x:v>
      </x:c>
      <x:c r="L29" s="11" t="n">
        <x:v>0</x:v>
      </x:c>
    </x:row>
    <x:row r="30" ht="30" customHeight="1">
      <x:c r="A30" s="9" t="str">
        <x:v>LongMemEval S</x:v>
      </x:c>
      <x:c r="B30" s="9" t="str">
        <x:v>D</x:v>
      </x:c>
      <x:c r="C30" s="11" t="n">
        <x:v>100</x:v>
      </x:c>
      <x:c r="D30" s="11" t="n">
        <x:v>428090</x:v>
      </x:c>
      <x:c r="E30" s="11" t="n">
        <x:v>52849</x:v>
      </x:c>
      <x:c r="F30" s="17" t="n">
        <x:v>3999</x:v>
      </x:c>
      <x:c r="G30" s="11" t="n">
        <x:v>11</x:v>
      </x:c>
      <x:c r="H30" s="11" t="n">
        <x:v>0</x:v>
      </x:c>
      <x:c r="I30" s="17" t="n">
        <x:v>4.045755874947645</x:v>
      </x:c>
      <x:c r="J30" s="17" t="n">
        <x:v>5.828809625422582</x:v>
      </x:c>
      <x:c r="K30" s="11" t="n">
        <x:v>4000</x:v>
      </x:c>
      <x:c r="L30" s="11" t="n">
        <x:v>0</x:v>
      </x:c>
    </x:row>
    <x:row r="31" ht="30" customHeight="1">
      <x:c r="A31" s="9" t="str">
        <x:v>LongMemEval oracle</x:v>
      </x:c>
      <x:c r="B31" s="9" t="str">
        <x:v>A full</x:v>
      </x:c>
      <x:c r="C31" s="11" t="n">
        <x:v>500</x:v>
      </x:c>
      <x:c r="D31" s="11" t="n">
        <x:v>1878119</x:v>
      </x:c>
      <x:c r="E31" s="11" t="n">
        <x:v>247642</x:v>
      </x:c>
      <x:c r="F31" s="17" t="n">
        <x:v>3623.846</x:v>
      </x:c>
      <x:c r="G31" s="11" t="n">
        <x:v>2</x:v>
      </x:c>
      <x:c r="H31" s="11" t="n">
        <x:v>0</x:v>
      </x:c>
      <x:c r="I31" s="17" t="n">
        <x:v>3.560458812484285</x:v>
      </x:c>
      <x:c r="J31" s="17" t="n">
        <x:v>5.816596310769091</x:v>
      </x:c>
      <x:c r="K31" s="11" t="n">
        <x:v>4000</x:v>
      </x:c>
      <x:c r="L31" s="11" t="n">
        <x:v>0</x:v>
      </x:c>
    </x:row>
    <x:row r="32" ht="30" customHeight="1">
      <x:c r="A32" s="9" t="str">
        <x:v>LongMemEval oracle</x:v>
      </x:c>
      <x:c r="B32" s="9" t="str">
        <x:v>A</x:v>
      </x:c>
      <x:c r="C32" s="11" t="n">
        <x:v>100</x:v>
      </x:c>
      <x:c r="D32" s="11" t="n">
        <x:v>379490</x:v>
      </x:c>
      <x:c r="E32" s="11" t="n">
        <x:v>50829</x:v>
      </x:c>
      <x:c r="F32" s="17" t="n">
        <x:v>3641.52</x:v>
      </x:c>
      <x:c r="G32" s="11" t="n">
        <x:v>1</x:v>
      </x:c>
      <x:c r="H32" s="11" t="n">
        <x:v>0</x:v>
      </x:c>
      <x:c r="I32" s="17" t="n">
        <x:v>3.733850499964319</x:v>
      </x:c>
      <x:c r="J32" s="17" t="n">
        <x:v>5.796758912794758</x:v>
      </x:c>
      <x:c r="K32" s="11" t="n">
        <x:v>4000</x:v>
      </x:c>
      <x:c r="L32" s="11" t="n">
        <x:v>0</x:v>
      </x:c>
    </x:row>
    <x:row r="33" ht="30" customHeight="1">
      <x:c r="A33" s="9" t="str">
        <x:v>LongMemEval oracle</x:v>
      </x:c>
      <x:c r="B33" s="9" t="str">
        <x:v>B</x:v>
      </x:c>
      <x:c r="C33" s="11" t="n">
        <x:v>100</x:v>
      </x:c>
      <x:c r="D33" s="11" t="n">
        <x:v>376596</x:v>
      </x:c>
      <x:c r="E33" s="11" t="n">
        <x:v>49906</x:v>
      </x:c>
      <x:c r="F33" s="17" t="n">
        <x:v>3594.62</x:v>
      </x:c>
      <x:c r="G33" s="11" t="n">
        <x:v>19</x:v>
      </x:c>
      <x:c r="H33" s="11" t="n">
        <x:v>0</x:v>
      </x:c>
      <x:c r="I33" s="17" t="n">
        <x:v>3.8114959999802522</x:v>
      </x:c>
      <x:c r="J33" s="17" t="n">
        <x:v>6.007744874979835</x:v>
      </x:c>
      <x:c r="K33" s="11" t="n">
        <x:v>4000</x:v>
      </x:c>
      <x:c r="L33" s="11" t="n">
        <x:v>0</x:v>
      </x:c>
    </x:row>
    <x:row r="34" ht="30" customHeight="1">
      <x:c r="A34" s="9" t="str">
        <x:v>LongMemEval oracle</x:v>
      </x:c>
      <x:c r="B34" s="9" t="str">
        <x:v>C</x:v>
      </x:c>
      <x:c r="C34" s="11" t="n">
        <x:v>100</x:v>
      </x:c>
      <x:c r="D34" s="11" t="n">
        <x:v>391339</x:v>
      </x:c>
      <x:c r="E34" s="11" t="n">
        <x:v>50577</x:v>
      </x:c>
      <x:c r="F34" s="17" t="n">
        <x:v>3656.81</x:v>
      </x:c>
      <x:c r="G34" s="11" t="n">
        <x:v>19</x:v>
      </x:c>
      <x:c r="H34" s="11" t="n">
        <x:v>0</x:v>
      </x:c>
      <x:c r="I34" s="17" t="n">
        <x:v>3.863879333017394</x:v>
      </x:c>
      <x:c r="J34" s="17" t="n">
        <x:v>5.883100125007331</x:v>
      </x:c>
      <x:c r="K34" s="11" t="n">
        <x:v>4000</x:v>
      </x:c>
      <x:c r="L34" s="11" t="n">
        <x:v>0</x:v>
      </x:c>
    </x:row>
    <x:row r="35" ht="30" customHeight="1">
      <x:c r="A35" s="9" t="str">
        <x:v>LongMemEval oracle</x:v>
      </x:c>
      <x:c r="B35" s="9" t="str">
        <x:v>D</x:v>
      </x:c>
      <x:c r="C35" s="11" t="n">
        <x:v>100</x:v>
      </x:c>
      <x:c r="D35" s="11" t="n">
        <x:v>391364</x:v>
      </x:c>
      <x:c r="E35" s="11" t="n">
        <x:v>51338</x:v>
      </x:c>
      <x:c r="F35" s="17" t="n">
        <x:v>3656.81</x:v>
      </x:c>
      <x:c r="G35" s="11" t="n">
        <x:v>18</x:v>
      </x:c>
      <x:c r="H35" s="11" t="n">
        <x:v>0</x:v>
      </x:c>
      <x:c r="I35" s="17" t="n">
        <x:v>4.027633416495519</x:v>
      </x:c>
      <x:c r="J35" s="17" t="n">
        <x:v>5.970226268123953</x:v>
      </x:c>
      <x:c r="K35" s="11" t="n">
        <x:v>4000</x:v>
      </x:c>
      <x:c r="L35" s="11" t="n">
        <x:v>0</x:v>
      </x:c>
    </x:row>
    <x:row r="36" ht="30" customHeight="1">
      <x:c r="A36" s="9" t="str">
        <x:v>MultiHop-RAG</x:v>
      </x:c>
      <x:c r="B36" s="9" t="str">
        <x:v>A full</x:v>
      </x:c>
      <x:c r="C36" s="11" t="n">
        <x:v>2556</x:v>
      </x:c>
      <x:c r="D36" s="11" t="n">
        <x:v>10888861</x:v>
      </x:c>
      <x:c r="E36" s="11" t="n">
        <x:v>1563534</x:v>
      </x:c>
      <x:c r="F36" s="17" t="n">
        <x:v>3999.5219092331768</x:v>
      </x:c>
      <x:c r="G36" s="11" t="n">
        <x:v>0</x:v>
      </x:c>
      <x:c r="H36" s="11" t="n">
        <x:v>0</x:v>
      </x:c>
      <x:c r="I36" s="17" t="n">
        <x:v>4.412780999526149</x:v>
      </x:c>
      <x:c r="J36" s="17" t="n">
        <x:v>5.9249493957613595</x:v>
      </x:c>
      <x:c r="K36" s="11" t="n">
        <x:v>4000</x:v>
      </x:c>
      <x:c r="L36" s="11" t="n">
        <x:v>0</x:v>
      </x:c>
    </x:row>
    <x:row r="37" ht="30" customHeight="1">
      <x:c r="A37" s="9" t="str">
        <x:v>MultiHop-RAG</x:v>
      </x:c>
      <x:c r="B37" s="9" t="str">
        <x:v>A</x:v>
      </x:c>
      <x:c r="C37" s="11" t="n">
        <x:v>100</x:v>
      </x:c>
      <x:c r="D37" s="11" t="n">
        <x:v>426186</x:v>
      </x:c>
      <x:c r="E37" s="11" t="n">
        <x:v>58729</x:v>
      </x:c>
      <x:c r="F37" s="17" t="n">
        <x:v>3999.23</x:v>
      </x:c>
      <x:c r="G37" s="11" t="n">
        <x:v>0</x:v>
      </x:c>
      <x:c r="H37" s="11" t="n">
        <x:v>0</x:v>
      </x:c>
      <x:c r="I37" s="17" t="n">
        <x:v>4.253666666481877</x:v>
      </x:c>
      <x:c r="J37" s="17" t="n">
        <x:v>5.77219978364883</x:v>
      </x:c>
      <x:c r="K37" s="11" t="n">
        <x:v>4000</x:v>
      </x:c>
      <x:c r="L37" s="11" t="n">
        <x:v>0</x:v>
      </x:c>
    </x:row>
    <x:row r="38" ht="30" customHeight="1">
      <x:c r="A38" s="9" t="str">
        <x:v>MultiHop-RAG</x:v>
      </x:c>
      <x:c r="B38" s="9" t="str">
        <x:v>B</x:v>
      </x:c>
      <x:c r="C38" s="11" t="n">
        <x:v>100</x:v>
      </x:c>
      <x:c r="D38" s="11" t="n">
        <x:v>429964</x:v>
      </x:c>
      <x:c r="E38" s="11" t="n">
        <x:v>60458</x:v>
      </x:c>
      <x:c r="F38" s="17" t="n">
        <x:v>3999.18</x:v>
      </x:c>
      <x:c r="G38" s="11" t="n">
        <x:v>18</x:v>
      </x:c>
      <x:c r="H38" s="11" t="n">
        <x:v>0</x:v>
      </x:c>
      <x:c r="I38" s="17" t="n">
        <x:v>4.5794216044887435</x:v>
      </x:c>
      <x:c r="J38" s="17" t="n">
        <x:v>6.001871752081207</x:v>
      </x:c>
      <x:c r="K38" s="11" t="n">
        <x:v>4000</x:v>
      </x:c>
      <x:c r="L38" s="11" t="n">
        <x:v>0</x:v>
      </x:c>
    </x:row>
    <x:row r="39" ht="30" customHeight="1">
      <x:c r="A39" s="9" t="str">
        <x:v>MultiHop-RAG</x:v>
      </x:c>
      <x:c r="B39" s="9" t="str">
        <x:v>C</x:v>
      </x:c>
      <x:c r="C39" s="11" t="n">
        <x:v>100</x:v>
      </x:c>
      <x:c r="D39" s="11" t="n">
        <x:v>441619</x:v>
      </x:c>
      <x:c r="E39" s="11" t="n">
        <x:v>57930</x:v>
      </x:c>
      <x:c r="F39" s="17" t="n">
        <x:v>3999.35</x:v>
      </x:c>
      <x:c r="G39" s="11" t="n">
        <x:v>18</x:v>
      </x:c>
      <x:c r="H39" s="11" t="n">
        <x:v>0</x:v>
      </x:c>
      <x:c r="I39" s="17" t="n">
        <x:v>4.081223041488556</x:v>
      </x:c>
      <x:c r="J39" s="17" t="n">
        <x:v>5.891823082676274</x:v>
      </x:c>
      <x:c r="K39" s="11" t="n">
        <x:v>4000</x:v>
      </x:c>
      <x:c r="L39" s="11" t="n">
        <x:v>0</x:v>
      </x:c>
    </x:row>
    <x:row r="40" ht="30" customHeight="1">
      <x:c r="A40" s="9" t="str">
        <x:v>MultiHop-RAG</x:v>
      </x:c>
      <x:c r="B40" s="9" t="str">
        <x:v>D</x:v>
      </x:c>
      <x:c r="C40" s="11" t="n">
        <x:v>100</x:v>
      </x:c>
      <x:c r="D40" s="11" t="n">
        <x:v>453475</x:v>
      </x:c>
      <x:c r="E40" s="11" t="n">
        <x:v>54148</x:v>
      </x:c>
      <x:c r="F40" s="17" t="n">
        <x:v>3999.34</x:v>
      </x:c>
      <x:c r="G40" s="11" t="n">
        <x:v>1</x:v>
      </x:c>
      <x:c r="H40" s="11" t="n">
        <x:v>0</x:v>
      </x:c>
      <x:c r="I40" s="17" t="n">
        <x:v>3.9357549590058625</x:v>
      </x:c>
      <x:c r="J40" s="17" t="n">
        <x:v>5.682536979200085</x:v>
      </x:c>
      <x:c r="K40" s="11" t="n">
        <x:v>4000</x:v>
      </x:c>
      <x:c r="L40" s="11" t="n">
        <x:v>0</x:v>
      </x:c>
    </x:row>
    <x:row r="41" ht="30" customHeight="1">
      <x:c r="A41" s="9" t="str">
        <x:v>FactConsolidation SH 6K</x:v>
      </x:c>
      <x:c r="B41" s="9" t="str">
        <x:v>A full</x:v>
      </x:c>
      <x:c r="C41" s="11" t="n">
        <x:v>100</x:v>
      </x:c>
      <x:c r="D41" s="11" t="n">
        <x:v>478017</x:v>
      </x:c>
      <x:c r="E41" s="11" t="n">
        <x:v>24485</x:v>
      </x:c>
      <x:c r="F41" s="17" t="n">
        <x:v>4000</x:v>
      </x:c>
      <x:c r="G41" s="11" t="n">
        <x:v>0</x:v>
      </x:c>
      <x:c r="H41" s="11" t="n">
        <x:v>0</x:v>
      </x:c>
      <x:c r="I41" s="17" t="n">
        <x:v>2.4379347914946266</x:v>
      </x:c>
      <x:c r="J41" s="17" t="n">
        <x:v>3.390924904160783</x:v>
      </x:c>
      <x:c r="K41" s="11" t="n">
        <x:v>4000</x:v>
      </x:c>
      <x:c r="L41" s="11" t="n">
        <x:v>0</x:v>
      </x:c>
    </x:row>
    <x:row r="42" ht="30" customHeight="1">
      <x:c r="A42" s="9" t="str">
        <x:v>FactConsolidation SH 6K</x:v>
      </x:c>
      <x:c r="B42" s="9" t="str">
        <x:v>A</x:v>
      </x:c>
      <x:c r="C42" s="11" t="n">
        <x:v>100</x:v>
      </x:c>
      <x:c r="D42" s="11" t="n">
        <x:v>478017</x:v>
      </x:c>
      <x:c r="E42" s="11" t="n">
        <x:v>24485</x:v>
      </x:c>
      <x:c r="F42" s="17" t="n">
        <x:v>4000</x:v>
      </x:c>
      <x:c r="G42" s="11" t="n">
        <x:v>0</x:v>
      </x:c>
      <x:c r="H42" s="11" t="n">
        <x:v>0</x:v>
      </x:c>
      <x:c r="I42" s="17" t="n">
        <x:v>2.4379347914946266</x:v>
      </x:c>
      <x:c r="J42" s="17" t="n">
        <x:v>3.390924904160783</x:v>
      </x:c>
      <x:c r="K42" s="11" t="n">
        <x:v>4000</x:v>
      </x:c>
      <x:c r="L42" s="11" t="n">
        <x:v>0</x:v>
      </x:c>
    </x:row>
    <x:row r="43" ht="30" customHeight="1">
      <x:c r="A43" s="9" t="str">
        <x:v>FactConsolidation SH 6K</x:v>
      </x:c>
      <x:c r="B43" s="9" t="str">
        <x:v>B</x:v>
      </x:c>
      <x:c r="C43" s="11" t="n">
        <x:v>100</x:v>
      </x:c>
      <x:c r="D43" s="11" t="n">
        <x:v>451520</x:v>
      </x:c>
      <x:c r="E43" s="11" t="n">
        <x:v>27756</x:v>
      </x:c>
      <x:c r="F43" s="17" t="n">
        <x:v>4000</x:v>
      </x:c>
      <x:c r="G43" s="11" t="n">
        <x:v>0</x:v>
      </x:c>
      <x:c r="H43" s="11" t="n">
        <x:v>0</x:v>
      </x:c>
      <x:c r="I43" s="17" t="n">
        <x:v>2.4769757500034757</x:v>
      </x:c>
      <x:c r="J43" s="17" t="n">
        <x:v>4.28909749436425</x:v>
      </x:c>
      <x:c r="K43" s="11" t="n">
        <x:v>4000</x:v>
      </x:c>
      <x:c r="L43" s="11" t="n">
        <x:v>0</x:v>
      </x:c>
    </x:row>
    <x:row r="44" ht="30" customHeight="1">
      <x:c r="A44" s="9" t="str">
        <x:v>FactConsolidation SH 6K</x:v>
      </x:c>
      <x:c r="B44" s="9" t="str">
        <x:v>C</x:v>
      </x:c>
      <x:c r="C44" s="11" t="n">
        <x:v>100</x:v>
      </x:c>
      <x:c r="D44" s="11" t="n">
        <x:v>478039</x:v>
      </x:c>
      <x:c r="E44" s="11" t="n">
        <x:v>27194</x:v>
      </x:c>
      <x:c r="F44" s="17" t="n">
        <x:v>3999.03</x:v>
      </x:c>
      <x:c r="G44" s="11" t="n">
        <x:v>0</x:v>
      </x:c>
      <x:c r="H44" s="11" t="n">
        <x:v>0</x:v>
      </x:c>
      <x:c r="I44" s="17" t="n">
        <x:v>2.4922508125018794</x:v>
      </x:c>
      <x:c r="J44" s="17" t="n">
        <x:v>4.612144500639988</x:v>
      </x:c>
      <x:c r="K44" s="11" t="n">
        <x:v>4000</x:v>
      </x:c>
      <x:c r="L44" s="11" t="n">
        <x:v>0</x:v>
      </x:c>
    </x:row>
    <x:row r="45" ht="30" customHeight="1">
      <x:c r="A45" s="9" t="str">
        <x:v>FactConsolidation SH 6K</x:v>
      </x:c>
      <x:c r="B45" s="9" t="str">
        <x:v>D</x:v>
      </x:c>
      <x:c r="C45" s="11" t="n">
        <x:v>100</x:v>
      </x:c>
      <x:c r="D45" s="11" t="n">
        <x:v>477696</x:v>
      </x:c>
      <x:c r="E45" s="11" t="n">
        <x:v>24917</x:v>
      </x:c>
      <x:c r="F45" s="17" t="n">
        <x:v>3999.55</x:v>
      </x:c>
      <x:c r="G45" s="11" t="n">
        <x:v>0</x:v>
      </x:c>
      <x:c r="H45" s="11" t="n">
        <x:v>0</x:v>
      </x:c>
      <x:c r="I45" s="17" t="n">
        <x:v>2.27079047850566</x:v>
      </x:c>
      <x:c r="J45" s="17" t="n">
        <x:v>4.441821156250079</x:v>
      </x:c>
      <x:c r="K45" s="11" t="n">
        <x:v>4000</x:v>
      </x:c>
      <x:c r="L45" s="11" t="n">
        <x:v>0</x:v>
      </x:c>
    </x:row>
    <x:row r="46" ht="30" customHeight="1">
      <x:c r="A46" s="9" t="str">
        <x:v>FactConsolidation MH 6K</x:v>
      </x:c>
      <x:c r="B46" s="9" t="str">
        <x:v>A full</x:v>
      </x:c>
      <x:c r="C46" s="11" t="n">
        <x:v>100</x:v>
      </x:c>
      <x:c r="D46" s="11" t="n">
        <x:v>477347</x:v>
      </x:c>
      <x:c r="E46" s="11" t="n">
        <x:v>60386</x:v>
      </x:c>
      <x:c r="F46" s="17" t="n">
        <x:v>4000</x:v>
      </x:c>
      <x:c r="G46" s="11" t="n">
        <x:v>0</x:v>
      </x:c>
      <x:c r="H46" s="11" t="n">
        <x:v>0</x:v>
      </x:c>
      <x:c r="I46" s="17" t="n">
        <x:v>4.233099687495269</x:v>
      </x:c>
      <x:c r="J46" s="17" t="n">
        <x:v>5.644155299989507</x:v>
      </x:c>
      <x:c r="K46" s="11" t="n">
        <x:v>4000</x:v>
      </x:c>
      <x:c r="L46" s="11" t="n">
        <x:v>0</x:v>
      </x:c>
    </x:row>
    <x:row r="47" ht="30" customHeight="1">
      <x:c r="A47" s="9" t="str">
        <x:v>FactConsolidation MH 6K</x:v>
      </x:c>
      <x:c r="B47" s="9" t="str">
        <x:v>A</x:v>
      </x:c>
      <x:c r="C47" s="11" t="n">
        <x:v>100</x:v>
      </x:c>
      <x:c r="D47" s="11" t="n">
        <x:v>477347</x:v>
      </x:c>
      <x:c r="E47" s="11" t="n">
        <x:v>60386</x:v>
      </x:c>
      <x:c r="F47" s="17" t="n">
        <x:v>4000</x:v>
      </x:c>
      <x:c r="G47" s="11" t="n">
        <x:v>0</x:v>
      </x:c>
      <x:c r="H47" s="11" t="n">
        <x:v>0</x:v>
      </x:c>
      <x:c r="I47" s="17" t="n">
        <x:v>4.233099687495269</x:v>
      </x:c>
      <x:c r="J47" s="17" t="n">
        <x:v>5.644155299989507</x:v>
      </x:c>
      <x:c r="K47" s="11" t="n">
        <x:v>4000</x:v>
      </x:c>
      <x:c r="L47" s="11" t="n">
        <x:v>0</x:v>
      </x:c>
    </x:row>
    <x:row r="48" ht="30" customHeight="1">
      <x:c r="A48" s="9" t="str">
        <x:v>FactConsolidation MH 6K</x:v>
      </x:c>
      <x:c r="B48" s="9" t="str">
        <x:v>B</x:v>
      </x:c>
      <x:c r="C48" s="11" t="n">
        <x:v>100</x:v>
      </x:c>
      <x:c r="D48" s="11" t="n">
        <x:v>449901</x:v>
      </x:c>
      <x:c r="E48" s="11" t="n">
        <x:v>61439</x:v>
      </x:c>
      <x:c r="F48" s="17" t="n">
        <x:v>4000</x:v>
      </x:c>
      <x:c r="G48" s="11" t="n">
        <x:v>0</x:v>
      </x:c>
      <x:c r="H48" s="11" t="n">
        <x:v>0</x:v>
      </x:c>
      <x:c r="I48" s="17" t="n">
        <x:v>4.809971478476655</x:v>
      </x:c>
      <x:c r="J48" s="17" t="n">
        <x:v>5.975839756548521</x:v>
      </x:c>
      <x:c r="K48" s="11" t="n">
        <x:v>4000</x:v>
      </x:c>
      <x:c r="L48" s="11" t="n">
        <x:v>0</x:v>
      </x:c>
    </x:row>
    <x:row r="49" ht="30" customHeight="1">
      <x:c r="A49" s="9" t="str">
        <x:v>FactConsolidation MH 6K</x:v>
      </x:c>
      <x:c r="B49" s="9" t="str">
        <x:v>C</x:v>
      </x:c>
      <x:c r="C49" s="11" t="n">
        <x:v>100</x:v>
      </x:c>
      <x:c r="D49" s="11" t="n">
        <x:v>477068</x:v>
      </x:c>
      <x:c r="E49" s="11" t="n">
        <x:v>57921</x:v>
      </x:c>
      <x:c r="F49" s="17" t="n">
        <x:v>3999.16</x:v>
      </x:c>
      <x:c r="G49" s="11" t="n">
        <x:v>0</x:v>
      </x:c>
      <x:c r="H49" s="11" t="n">
        <x:v>0</x:v>
      </x:c>
      <x:c r="I49" s="17" t="n">
        <x:v>4.130554833507631</x:v>
      </x:c>
      <x:c r="J49" s="17" t="n">
        <x:v>5.784267849411117</x:v>
      </x:c>
      <x:c r="K49" s="11" t="n">
        <x:v>4000</x:v>
      </x:c>
      <x:c r="L49" s="11" t="n">
        <x:v>0</x:v>
      </x:c>
    </x:row>
    <x:row r="50" ht="30" customHeight="1">
      <x:c r="A50" s="9" t="str">
        <x:v>FactConsolidation MH 6K</x:v>
      </x:c>
      <x:c r="B50" s="9" t="str">
        <x:v>D</x:v>
      </x:c>
      <x:c r="C50" s="11" t="n">
        <x:v>100</x:v>
      </x:c>
      <x:c r="D50" s="11" t="n">
        <x:v>476623</x:v>
      </x:c>
      <x:c r="E50" s="11" t="n">
        <x:v>55568</x:v>
      </x:c>
      <x:c r="F50" s="17" t="n">
        <x:v>3999.33</x:v>
      </x:c>
      <x:c r="G50" s="11" t="n">
        <x:v>0</x:v>
      </x:c>
      <x:c r="H50" s="11" t="n">
        <x:v>0</x:v>
      </x:c>
      <x:c r="I50" s="17" t="n">
        <x:v>4.046671958494699</x:v>
      </x:c>
      <x:c r="J50" s="17" t="n">
        <x:v>5.642697270866483</x:v>
      </x:c>
      <x:c r="K50" s="11" t="n">
        <x:v>4000</x:v>
      </x:c>
      <x:c r="L50" s="11" t="n">
        <x:v>0</x:v>
      </x:c>
    </x:row>
    <x:row r="51" ht="30" customHeight="1">
      <x:c r="A51" s="9" t="str">
        <x:v>FactConsolidation SH 32K</x:v>
      </x:c>
      <x:c r="B51" s="9" t="str">
        <x:v>A full</x:v>
      </x:c>
      <x:c r="C51" s="11" t="n">
        <x:v>100</x:v>
      </x:c>
      <x:c r="D51" s="11" t="n">
        <x:v>482513</x:v>
      </x:c>
      <x:c r="E51" s="11" t="n">
        <x:v>24597</x:v>
      </x:c>
      <x:c r="F51" s="17" t="n">
        <x:v>3998.29</x:v>
      </x:c>
      <x:c r="G51" s="11" t="n">
        <x:v>0</x:v>
      </x:c>
      <x:c r="H51" s="11" t="n">
        <x:v>0</x:v>
      </x:c>
      <x:c r="I51" s="17" t="n">
        <x:v>2.3422092919936404</x:v>
      </x:c>
      <x:c r="J51" s="17" t="n">
        <x:v>3.682276754156919</x:v>
      </x:c>
      <x:c r="K51" s="11" t="n">
        <x:v>4000</x:v>
      </x:c>
      <x:c r="L51" s="11" t="n">
        <x:v>0</x:v>
      </x:c>
    </x:row>
    <x:row r="52" ht="30" customHeight="1">
      <x:c r="A52" s="9" t="str">
        <x:v>FactConsolidation SH 32K</x:v>
      </x:c>
      <x:c r="B52" s="9" t="str">
        <x:v>A</x:v>
      </x:c>
      <x:c r="C52" s="11" t="n">
        <x:v>100</x:v>
      </x:c>
      <x:c r="D52" s="11" t="n">
        <x:v>482513</x:v>
      </x:c>
      <x:c r="E52" s="11" t="n">
        <x:v>24597</x:v>
      </x:c>
      <x:c r="F52" s="17" t="n">
        <x:v>3998.29</x:v>
      </x:c>
      <x:c r="G52" s="11" t="n">
        <x:v>0</x:v>
      </x:c>
      <x:c r="H52" s="11" t="n">
        <x:v>0</x:v>
      </x:c>
      <x:c r="I52" s="17" t="n">
        <x:v>2.3422092919936404</x:v>
      </x:c>
      <x:c r="J52" s="17" t="n">
        <x:v>3.682276754156919</x:v>
      </x:c>
      <x:c r="K52" s="11" t="n">
        <x:v>4000</x:v>
      </x:c>
      <x:c r="L52" s="11" t="n">
        <x:v>0</x:v>
      </x:c>
    </x:row>
    <x:row r="53" ht="30" customHeight="1">
      <x:c r="A53" s="9" t="str">
        <x:v>FactConsolidation SH 32K</x:v>
      </x:c>
      <x:c r="B53" s="9" t="str">
        <x:v>B</x:v>
      </x:c>
      <x:c r="C53" s="11" t="n">
        <x:v>100</x:v>
      </x:c>
      <x:c r="D53" s="11" t="n">
        <x:v>455684</x:v>
      </x:c>
      <x:c r="E53" s="11" t="n">
        <x:v>28971</x:v>
      </x:c>
      <x:c r="F53" s="17" t="n">
        <x:v>3999.15</x:v>
      </x:c>
      <x:c r="G53" s="11" t="n">
        <x:v>0</x:v>
      </x:c>
      <x:c r="H53" s="11" t="n">
        <x:v>0</x:v>
      </x:c>
      <x:c r="I53" s="17" t="n">
        <x:v>2.4363731874909718</x:v>
      </x:c>
      <x:c r="J53" s="17" t="n">
        <x:v>4.904579214926343</x:v>
      </x:c>
      <x:c r="K53" s="11" t="n">
        <x:v>4000</x:v>
      </x:c>
      <x:c r="L53" s="11" t="n">
        <x:v>0</x:v>
      </x:c>
    </x:row>
    <x:row r="54" ht="30" customHeight="1">
      <x:c r="A54" s="9" t="str">
        <x:v>FactConsolidation SH 32K</x:v>
      </x:c>
      <x:c r="B54" s="9" t="str">
        <x:v>C</x:v>
      </x:c>
      <x:c r="C54" s="11" t="n">
        <x:v>100</x:v>
      </x:c>
      <x:c r="D54" s="11" t="n">
        <x:v>493382</x:v>
      </x:c>
      <x:c r="E54" s="11" t="n">
        <x:v>30748</x:v>
      </x:c>
      <x:c r="F54" s="17" t="n">
        <x:v>3999.31</x:v>
      </x:c>
      <x:c r="G54" s="11" t="n">
        <x:v>0</x:v>
      </x:c>
      <x:c r="H54" s="11" t="n">
        <x:v>0</x:v>
      </x:c>
      <x:c r="I54" s="17" t="n">
        <x:v>2.352406833000714</x:v>
      </x:c>
      <x:c r="J54" s="17" t="n">
        <x:v>4.897541987846489</x:v>
      </x:c>
      <x:c r="K54" s="11" t="n">
        <x:v>4000</x:v>
      </x:c>
      <x:c r="L54" s="11" t="n">
        <x:v>0</x:v>
      </x:c>
    </x:row>
    <x:row r="55" ht="30" customHeight="1">
      <x:c r="A55" s="9" t="str">
        <x:v>FactConsolidation SH 32K</x:v>
      </x:c>
      <x:c r="B55" s="9" t="str">
        <x:v>D</x:v>
      </x:c>
      <x:c r="C55" s="11" t="n">
        <x:v>100</x:v>
      </x:c>
      <x:c r="D55" s="11" t="n">
        <x:v>489722</x:v>
      </x:c>
      <x:c r="E55" s="11" t="n">
        <x:v>24414</x:v>
      </x:c>
      <x:c r="F55" s="17" t="n">
        <x:v>3998.78</x:v>
      </x:c>
      <x:c r="G55" s="11" t="n">
        <x:v>1</x:v>
      </x:c>
      <x:c r="H55" s="11" t="n">
        <x:v>0</x:v>
      </x:c>
      <x:c r="I55" s="17" t="n">
        <x:v>2.2866013339953497</x:v>
      </x:c>
      <x:c r="J55" s="17" t="n">
        <x:v>4.175666454661403</x:v>
      </x:c>
      <x:c r="K55" s="11" t="n">
        <x:v>4000</x:v>
      </x:c>
      <x:c r="L55" s="11" t="n">
        <x:v>0</x:v>
      </x:c>
    </x:row>
    <x:row r="56" ht="30" customHeight="1">
      <x:c r="A56" s="9" t="str">
        <x:v>FactConsolidation MH 32K</x:v>
      </x:c>
      <x:c r="B56" s="9" t="str">
        <x:v>A full</x:v>
      </x:c>
      <x:c r="C56" s="11" t="n">
        <x:v>100</x:v>
      </x:c>
      <x:c r="D56" s="11" t="n">
        <x:v>483470</x:v>
      </x:c>
      <x:c r="E56" s="11" t="n">
        <x:v>68521</x:v>
      </x:c>
      <x:c r="F56" s="17" t="n">
        <x:v>3998.2</x:v>
      </x:c>
      <x:c r="G56" s="11" t="n">
        <x:v>0</x:v>
      </x:c>
      <x:c r="H56" s="11" t="n">
        <x:v>0</x:v>
      </x:c>
      <x:c r="I56" s="17" t="n">
        <x:v>5.09281012500287</x:v>
      </x:c>
      <x:c r="J56" s="17" t="n">
        <x:v>5.901155941339675</x:v>
      </x:c>
      <x:c r="K56" s="11" t="n">
        <x:v>4000</x:v>
      </x:c>
      <x:c r="L56" s="11" t="n">
        <x:v>0</x:v>
      </x:c>
    </x:row>
    <x:row r="57" ht="30" customHeight="1">
      <x:c r="A57" s="9" t="str">
        <x:v>FactConsolidation MH 32K</x:v>
      </x:c>
      <x:c r="B57" s="9" t="str">
        <x:v>A</x:v>
      </x:c>
      <x:c r="C57" s="11" t="n">
        <x:v>100</x:v>
      </x:c>
      <x:c r="D57" s="11" t="n">
        <x:v>483470</x:v>
      </x:c>
      <x:c r="E57" s="11" t="n">
        <x:v>68521</x:v>
      </x:c>
      <x:c r="F57" s="17" t="n">
        <x:v>3998.2</x:v>
      </x:c>
      <x:c r="G57" s="11" t="n">
        <x:v>0</x:v>
      </x:c>
      <x:c r="H57" s="11" t="n">
        <x:v>0</x:v>
      </x:c>
      <x:c r="I57" s="17" t="n">
        <x:v>5.09281012500287</x:v>
      </x:c>
      <x:c r="J57" s="17" t="n">
        <x:v>5.901155941339675</x:v>
      </x:c>
      <x:c r="K57" s="11" t="n">
        <x:v>4000</x:v>
      </x:c>
      <x:c r="L57" s="11" t="n">
        <x:v>0</x:v>
      </x:c>
    </x:row>
    <x:row r="58" ht="30" customHeight="1">
      <x:c r="A58" s="9" t="str">
        <x:v>FactConsolidation MH 32K</x:v>
      </x:c>
      <x:c r="B58" s="9" t="str">
        <x:v>B</x:v>
      </x:c>
      <x:c r="C58" s="11" t="n">
        <x:v>100</x:v>
      </x:c>
      <x:c r="D58" s="11" t="n">
        <x:v>453638</x:v>
      </x:c>
      <x:c r="E58" s="11" t="n">
        <x:v>69137</x:v>
      </x:c>
      <x:c r="F58" s="17" t="n">
        <x:v>3999.23</x:v>
      </x:c>
      <x:c r="G58" s="11" t="n">
        <x:v>0</x:v>
      </x:c>
      <x:c r="H58" s="11" t="n">
        <x:v>0</x:v>
      </x:c>
      <x:c r="I58" s="17" t="n">
        <x:v>5.116289062512806</x:v>
      </x:c>
      <x:c r="J58" s="17" t="n">
        <x:v>5.791439056250965</x:v>
      </x:c>
      <x:c r="K58" s="11" t="n">
        <x:v>4000</x:v>
      </x:c>
      <x:c r="L58" s="11" t="n">
        <x:v>0</x:v>
      </x:c>
    </x:row>
    <x:row r="59" ht="30" customHeight="1">
      <x:c r="A59" s="9" t="str">
        <x:v>FactConsolidation MH 32K</x:v>
      </x:c>
      <x:c r="B59" s="9" t="str">
        <x:v>C</x:v>
      </x:c>
      <x:c r="C59" s="11" t="n">
        <x:v>100</x:v>
      </x:c>
      <x:c r="D59" s="11" t="n">
        <x:v>490694</x:v>
      </x:c>
      <x:c r="E59" s="11" t="n">
        <x:v>72203</x:v>
      </x:c>
      <x:c r="F59" s="17" t="n">
        <x:v>3998.92</x:v>
      </x:c>
      <x:c r="G59" s="11" t="n">
        <x:v>0</x:v>
      </x:c>
      <x:c r="H59" s="11" t="n">
        <x:v>0</x:v>
      </x:c>
      <x:c r="I59" s="17" t="n">
        <x:v>4.964341875020182</x:v>
      </x:c>
      <x:c r="J59" s="17" t="n">
        <x:v>5.748906413078657</x:v>
      </x:c>
      <x:c r="K59" s="11" t="n">
        <x:v>4000</x:v>
      </x:c>
      <x:c r="L59" s="11" t="n">
        <x:v>0</x:v>
      </x:c>
    </x:row>
    <x:row r="60" ht="30" customHeight="1">
      <x:c r="A60" s="9" t="str">
        <x:v>FactConsolidation MH 32K</x:v>
      </x:c>
      <x:c r="B60" s="9" t="str">
        <x:v>D</x:v>
      </x:c>
      <x:c r="C60" s="11" t="n">
        <x:v>100</x:v>
      </x:c>
      <x:c r="D60" s="11" t="n">
        <x:v>487130</x:v>
      </x:c>
      <x:c r="E60" s="11" t="n">
        <x:v>68112</x:v>
      </x:c>
      <x:c r="F60" s="17" t="n">
        <x:v>3999.44</x:v>
      </x:c>
      <x:c r="G60" s="11" t="n">
        <x:v>1</x:v>
      </x:c>
      <x:c r="H60" s="11" t="n">
        <x:v>1</x:v>
      </x:c>
      <x:c r="I60" s="17" t="n">
        <x:v>4.981609874987043</x:v>
      </x:c>
      <x:c r="J60" s="17" t="n">
        <x:v>5.764927379530854</x:v>
      </x:c>
      <x:c r="K60" s="11" t="n">
        <x:v>4000</x:v>
      </x:c>
      <x:c r="L60" s="11" t="n">
        <x:v>0</x:v>
      </x:c>
    </x:row>
    <x:row r="61" ht="30" customHeight="1">
      <x:c r="A61" s="9" t="str">
        <x:v>FactConsolidation SH 64K</x:v>
      </x:c>
      <x:c r="B61" s="9" t="str">
        <x:v>A full</x:v>
      </x:c>
      <x:c r="C61" s="11" t="n">
        <x:v>100</x:v>
      </x:c>
      <x:c r="D61" s="11" t="n">
        <x:v>481586</x:v>
      </x:c>
      <x:c r="E61" s="11" t="n">
        <x:v>27426</x:v>
      </x:c>
      <x:c r="F61" s="17" t="n">
        <x:v>3999.77</x:v>
      </x:c>
      <x:c r="G61" s="11" t="n">
        <x:v>0</x:v>
      </x:c>
      <x:c r="H61" s="11" t="n">
        <x:v>0</x:v>
      </x:c>
      <x:c r="I61" s="17" t="n">
        <x:v>2.428116687486181</x:v>
      </x:c>
      <x:c r="J61" s="17" t="n">
        <x:v>4.56026787473238</x:v>
      </x:c>
      <x:c r="K61" s="11" t="n">
        <x:v>4000</x:v>
      </x:c>
      <x:c r="L61" s="11" t="n">
        <x:v>0</x:v>
      </x:c>
    </x:row>
    <x:row r="62" ht="30" customHeight="1">
      <x:c r="A62" s="9" t="str">
        <x:v>FactConsolidation SH 64K</x:v>
      </x:c>
      <x:c r="B62" s="9" t="str">
        <x:v>A</x:v>
      </x:c>
      <x:c r="C62" s="11" t="n">
        <x:v>100</x:v>
      </x:c>
      <x:c r="D62" s="11" t="n">
        <x:v>481586</x:v>
      </x:c>
      <x:c r="E62" s="11" t="n">
        <x:v>27426</x:v>
      </x:c>
      <x:c r="F62" s="17" t="n">
        <x:v>3999.77</x:v>
      </x:c>
      <x:c r="G62" s="11" t="n">
        <x:v>0</x:v>
      </x:c>
      <x:c r="H62" s="11" t="n">
        <x:v>0</x:v>
      </x:c>
      <x:c r="I62" s="17" t="n">
        <x:v>2.428116687486181</x:v>
      </x:c>
      <x:c r="J62" s="17" t="n">
        <x:v>4.56026787473238</x:v>
      </x:c>
      <x:c r="K62" s="11" t="n">
        <x:v>4000</x:v>
      </x:c>
      <x:c r="L62" s="11" t="n">
        <x:v>0</x:v>
      </x:c>
    </x:row>
    <x:row r="63" ht="30" customHeight="1">
      <x:c r="A63" s="9" t="str">
        <x:v>FactConsolidation SH 64K</x:v>
      </x:c>
      <x:c r="B63" s="9" t="str">
        <x:v>B</x:v>
      </x:c>
      <x:c r="C63" s="11" t="n">
        <x:v>100</x:v>
      </x:c>
      <x:c r="D63" s="11" t="n">
        <x:v>459551</x:v>
      </x:c>
      <x:c r="E63" s="11" t="n">
        <x:v>30725</x:v>
      </x:c>
      <x:c r="F63" s="17" t="n">
        <x:v>3999.1</x:v>
      </x:c>
      <x:c r="G63" s="11" t="n">
        <x:v>0</x:v>
      </x:c>
      <x:c r="H63" s="11" t="n">
        <x:v>0</x:v>
      </x:c>
      <x:c r="I63" s="17" t="n">
        <x:v>2.5444863334996626</x:v>
      </x:c>
      <x:c r="J63" s="17" t="n">
        <x:v>4.7904054771061055</x:v>
      </x:c>
      <x:c r="K63" s="11" t="n">
        <x:v>4000</x:v>
      </x:c>
      <x:c r="L63" s="11" t="n">
        <x:v>0</x:v>
      </x:c>
    </x:row>
    <x:row r="64" ht="30" customHeight="1">
      <x:c r="A64" s="9" t="str">
        <x:v>FactConsolidation SH 64K</x:v>
      </x:c>
      <x:c r="B64" s="9" t="str">
        <x:v>C</x:v>
      </x:c>
      <x:c r="C64" s="11" t="n">
        <x:v>100</x:v>
      </x:c>
      <x:c r="D64" s="11" t="n">
        <x:v>486174</x:v>
      </x:c>
      <x:c r="E64" s="11" t="n">
        <x:v>31081</x:v>
      </x:c>
      <x:c r="F64" s="17" t="n">
        <x:v>3999.07</x:v>
      </x:c>
      <x:c r="G64" s="11" t="n">
        <x:v>0</x:v>
      </x:c>
      <x:c r="H64" s="11" t="n">
        <x:v>0</x:v>
      </x:c>
      <x:c r="I64" s="17" t="n">
        <x:v>2.2714108540094458</x:v>
      </x:c>
      <x:c r="J64" s="17" t="n">
        <x:v>4.859839726734208</x:v>
      </x:c>
      <x:c r="K64" s="11" t="n">
        <x:v>4000</x:v>
      </x:c>
      <x:c r="L64" s="11" t="n">
        <x:v>0</x:v>
      </x:c>
    </x:row>
    <x:row r="65" ht="30" customHeight="1">
      <x:c r="A65" s="9" t="str">
        <x:v>FactConsolidation SH 64K</x:v>
      </x:c>
      <x:c r="B65" s="9" t="str">
        <x:v>D</x:v>
      </x:c>
      <x:c r="C65" s="11" t="n">
        <x:v>100</x:v>
      </x:c>
      <x:c r="D65" s="11" t="n">
        <x:v>486254</x:v>
      </x:c>
      <x:c r="E65" s="11" t="n">
        <x:v>23788</x:v>
      </x:c>
      <x:c r="F65" s="17" t="n">
        <x:v>3998.77</x:v>
      </x:c>
      <x:c r="G65" s="11" t="n">
        <x:v>0</x:v>
      </x:c>
      <x:c r="H65" s="11" t="n">
        <x:v>0</x:v>
      </x:c>
      <x:c r="I65" s="17" t="n">
        <x:v>2.2687732499907725</x:v>
      </x:c>
      <x:c r="J65" s="17" t="n">
        <x:v>4.059728167331196</x:v>
      </x:c>
      <x:c r="K65" s="11" t="n">
        <x:v>4000</x:v>
      </x:c>
      <x:c r="L65" s="11" t="n">
        <x:v>0</x:v>
      </x:c>
    </x:row>
    <x:row r="66" ht="30" customHeight="1">
      <x:c r="A66" s="9" t="str">
        <x:v>FactConsolidation MH 64K</x:v>
      </x:c>
      <x:c r="B66" s="9" t="str">
        <x:v>A full</x:v>
      </x:c>
      <x:c r="C66" s="11" t="n">
        <x:v>100</x:v>
      </x:c>
      <x:c r="D66" s="11" t="n">
        <x:v>482343</x:v>
      </x:c>
      <x:c r="E66" s="11" t="n">
        <x:v>70631</x:v>
      </x:c>
      <x:c r="F66" s="17" t="n">
        <x:v>3999.69</x:v>
      </x:c>
      <x:c r="G66" s="11" t="n">
        <x:v>0</x:v>
      </x:c>
      <x:c r="H66" s="11" t="n">
        <x:v>0</x:v>
      </x:c>
      <x:c r="I66" s="17" t="n">
        <x:v>4.934280062007019</x:v>
      </x:c>
      <x:c r="J66" s="17" t="n">
        <x:v>5.798416885480401</x:v>
      </x:c>
      <x:c r="K66" s="11" t="n">
        <x:v>4000</x:v>
      </x:c>
      <x:c r="L66" s="11" t="n">
        <x:v>0</x:v>
      </x:c>
    </x:row>
    <x:row r="67" ht="30" customHeight="1">
      <x:c r="A67" s="9" t="str">
        <x:v>FactConsolidation MH 64K</x:v>
      </x:c>
      <x:c r="B67" s="9" t="str">
        <x:v>A</x:v>
      </x:c>
      <x:c r="C67" s="11" t="n">
        <x:v>100</x:v>
      </x:c>
      <x:c r="D67" s="11" t="n">
        <x:v>482343</x:v>
      </x:c>
      <x:c r="E67" s="11" t="n">
        <x:v>70631</x:v>
      </x:c>
      <x:c r="F67" s="17" t="n">
        <x:v>3999.69</x:v>
      </x:c>
      <x:c r="G67" s="11" t="n">
        <x:v>0</x:v>
      </x:c>
      <x:c r="H67" s="11" t="n">
        <x:v>0</x:v>
      </x:c>
      <x:c r="I67" s="17" t="n">
        <x:v>4.934280062007019</x:v>
      </x:c>
      <x:c r="J67" s="17" t="n">
        <x:v>5.798416885480401</x:v>
      </x:c>
      <x:c r="K67" s="11" t="n">
        <x:v>4000</x:v>
      </x:c>
      <x:c r="L67" s="11" t="n">
        <x:v>0</x:v>
      </x:c>
    </x:row>
    <x:row r="68" ht="30" customHeight="1">
      <x:c r="A68" s="9" t="str">
        <x:v>FactConsolidation MH 64K</x:v>
      </x:c>
      <x:c r="B68" s="9" t="str">
        <x:v>B</x:v>
      </x:c>
      <x:c r="C68" s="11" t="n">
        <x:v>100</x:v>
      </x:c>
      <x:c r="D68" s="11" t="n">
        <x:v>457880</x:v>
      </x:c>
      <x:c r="E68" s="11" t="n">
        <x:v>69439</x:v>
      </x:c>
      <x:c r="F68" s="17" t="n">
        <x:v>3998.41</x:v>
      </x:c>
      <x:c r="G68" s="11" t="n">
        <x:v>0</x:v>
      </x:c>
      <x:c r="H68" s="11" t="n">
        <x:v>0</x:v>
      </x:c>
      <x:c r="I68" s="17" t="n">
        <x:v>5.081458750006277</x:v>
      </x:c>
      <x:c r="J68" s="17" t="n">
        <x:v>5.831026172902784</x:v>
      </x:c>
      <x:c r="K68" s="11" t="n">
        <x:v>4000</x:v>
      </x:c>
      <x:c r="L68" s="11" t="n">
        <x:v>0</x:v>
      </x:c>
    </x:row>
    <x:row r="69" ht="30" customHeight="1">
      <x:c r="A69" s="9" t="str">
        <x:v>FactConsolidation MH 64K</x:v>
      </x:c>
      <x:c r="B69" s="9" t="str">
        <x:v>C</x:v>
      </x:c>
      <x:c r="C69" s="11" t="n">
        <x:v>100</x:v>
      </x:c>
      <x:c r="D69" s="11" t="n">
        <x:v>484436</x:v>
      </x:c>
      <x:c r="E69" s="11" t="n">
        <x:v>71728</x:v>
      </x:c>
      <x:c r="F69" s="17" t="n">
        <x:v>3999</x:v>
      </x:c>
      <x:c r="G69" s="11" t="n">
        <x:v>0</x:v>
      </x:c>
      <x:c r="H69" s="11" t="n">
        <x:v>0</x:v>
      </x:c>
      <x:c r="I69" s="17" t="n">
        <x:v>4.93289010450826</x:v>
      </x:c>
      <x:c r="J69" s="17" t="n">
        <x:v>5.889066308640758</x:v>
      </x:c>
      <x:c r="K69" s="11" t="n">
        <x:v>4000</x:v>
      </x:c>
      <x:c r="L69" s="11" t="n">
        <x:v>0</x:v>
      </x:c>
    </x:row>
    <x:row r="70" ht="30" customHeight="1">
      <x:c r="A70" s="9" t="str">
        <x:v>FactConsolidation MH 64K</x:v>
      </x:c>
      <x:c r="B70" s="9" t="str">
        <x:v>D</x:v>
      </x:c>
      <x:c r="C70" s="11" t="n">
        <x:v>100</x:v>
      </x:c>
      <x:c r="D70" s="11" t="n">
        <x:v>484599</x:v>
      </x:c>
      <x:c r="E70" s="11" t="n">
        <x:v>68871</x:v>
      </x:c>
      <x:c r="F70" s="17" t="n">
        <x:v>3999.22</x:v>
      </x:c>
      <x:c r="G70" s="11" t="n">
        <x:v>0</x:v>
      </x:c>
      <x:c r="H70" s="11" t="n">
        <x:v>0</x:v>
      </x:c>
      <x:c r="I70" s="17" t="n">
        <x:v>4.918074687506305</x:v>
      </x:c>
      <x:c r="J70" s="17" t="n">
        <x:v>5.704510691319593</x:v>
      </x:c>
      <x:c r="K70" s="11" t="n">
        <x:v>4000</x:v>
      </x:c>
      <x:c r="L70" s="11" t="n">
        <x:v>0</x:v>
      </x:c>
    </x:row>
    <x:row r="71" ht="30" customHeight="1">
      <x:c r="A71" s="9" t="str">
        <x:v>FactConsolidation SH 262K</x:v>
      </x:c>
      <x:c r="B71" s="9" t="str">
        <x:v>A full</x:v>
      </x:c>
      <x:c r="C71" s="11" t="n">
        <x:v>100</x:v>
      </x:c>
      <x:c r="D71" s="11" t="n">
        <x:v>490198</x:v>
      </x:c>
      <x:c r="E71" s="11" t="n">
        <x:v>34957</x:v>
      </x:c>
      <x:c r="F71" s="17" t="n">
        <x:v>4000</x:v>
      </x:c>
      <x:c r="G71" s="11" t="n">
        <x:v>0</x:v>
      </x:c>
      <x:c r="H71" s="11" t="n">
        <x:v>0</x:v>
      </x:c>
      <x:c r="I71" s="17" t="n">
        <x:v>2.5579574784787837</x:v>
      </x:c>
      <x:c r="J71" s="17" t="n">
        <x:v>5.109468347314396</x:v>
      </x:c>
      <x:c r="K71" s="11" t="n">
        <x:v>4000</x:v>
      </x:c>
      <x:c r="L71" s="11" t="n">
        <x:v>0</x:v>
      </x:c>
    </x:row>
    <x:row r="72" ht="30" customHeight="1">
      <x:c r="A72" s="9" t="str">
        <x:v>FactConsolidation SH 262K</x:v>
      </x:c>
      <x:c r="B72" s="9" t="str">
        <x:v>A</x:v>
      </x:c>
      <x:c r="C72" s="11" t="n">
        <x:v>100</x:v>
      </x:c>
      <x:c r="D72" s="11" t="n">
        <x:v>490198</x:v>
      </x:c>
      <x:c r="E72" s="11" t="n">
        <x:v>34957</x:v>
      </x:c>
      <x:c r="F72" s="17" t="n">
        <x:v>4000</x:v>
      </x:c>
      <x:c r="G72" s="11" t="n">
        <x:v>0</x:v>
      </x:c>
      <x:c r="H72" s="11" t="n">
        <x:v>0</x:v>
      </x:c>
      <x:c r="I72" s="17" t="n">
        <x:v>2.5579574784787837</x:v>
      </x:c>
      <x:c r="J72" s="17" t="n">
        <x:v>5.109468347314396</x:v>
      </x:c>
      <x:c r="K72" s="11" t="n">
        <x:v>4000</x:v>
      </x:c>
      <x:c r="L72" s="11" t="n">
        <x:v>0</x:v>
      </x:c>
    </x:row>
    <x:row r="73" ht="30" customHeight="1">
      <x:c r="A73" s="9" t="str">
        <x:v>FactConsolidation SH 262K</x:v>
      </x:c>
      <x:c r="B73" s="9" t="str">
        <x:v>B</x:v>
      </x:c>
      <x:c r="C73" s="11" t="n">
        <x:v>100</x:v>
      </x:c>
      <x:c r="D73" s="11" t="n">
        <x:v>469367</x:v>
      </x:c>
      <x:c r="E73" s="11" t="n">
        <x:v>36401</x:v>
      </x:c>
      <x:c r="F73" s="17" t="n">
        <x:v>3999.22</x:v>
      </x:c>
      <x:c r="G73" s="11" t="n">
        <x:v>0</x:v>
      </x:c>
      <x:c r="H73" s="11" t="n">
        <x:v>0</x:v>
      </x:c>
      <x:c r="I73" s="17" t="n">
        <x:v>2.896166145510506</x:v>
      </x:c>
      <x:c r="J73" s="17" t="n">
        <x:v>5.474512261879863</x:v>
      </x:c>
      <x:c r="K73" s="11" t="n">
        <x:v>4000</x:v>
      </x:c>
      <x:c r="L73" s="11" t="n">
        <x:v>0</x:v>
      </x:c>
    </x:row>
    <x:row r="74" ht="30" customHeight="1">
      <x:c r="A74" s="9" t="str">
        <x:v>FactConsolidation SH 262K</x:v>
      </x:c>
      <x:c r="B74" s="9" t="str">
        <x:v>C</x:v>
      </x:c>
      <x:c r="C74" s="11" t="n">
        <x:v>100</x:v>
      </x:c>
      <x:c r="D74" s="11" t="n">
        <x:v>493475</x:v>
      </x:c>
      <x:c r="E74" s="11" t="n">
        <x:v>38003</x:v>
      </x:c>
      <x:c r="F74" s="17" t="n">
        <x:v>3999.62</x:v>
      </x:c>
      <x:c r="G74" s="11" t="n">
        <x:v>0</x:v>
      </x:c>
      <x:c r="H74" s="11" t="n">
        <x:v>0</x:v>
      </x:c>
      <x:c r="I74" s="17" t="n">
        <x:v>2.5962012500385754</x:v>
      </x:c>
      <x:c r="J74" s="17" t="n">
        <x:v>4.971409827424213</x:v>
      </x:c>
      <x:c r="K74" s="11" t="n">
        <x:v>4000</x:v>
      </x:c>
      <x:c r="L74" s="11" t="n">
        <x:v>0</x:v>
      </x:c>
    </x:row>
    <x:row r="75" ht="30" customHeight="1">
      <x:c r="A75" s="9" t="str">
        <x:v>FactConsolidation SH 262K</x:v>
      </x:c>
      <x:c r="B75" s="9" t="str">
        <x:v>D</x:v>
      </x:c>
      <x:c r="C75" s="11" t="n">
        <x:v>100</x:v>
      </x:c>
      <x:c r="D75" s="11" t="n">
        <x:v>492640</x:v>
      </x:c>
      <x:c r="E75" s="11" t="n">
        <x:v>32371</x:v>
      </x:c>
      <x:c r="F75" s="17" t="n">
        <x:v>3998.94</x:v>
      </x:c>
      <x:c r="G75" s="11" t="n">
        <x:v>1</x:v>
      </x:c>
      <x:c r="H75" s="11" t="n">
        <x:v>0</x:v>
      </x:c>
      <x:c r="I75" s="17" t="n">
        <x:v>2.4291669169906527</x:v>
      </x:c>
      <x:c r="J75" s="17" t="n">
        <x:v>4.726788383402163</x:v>
      </x:c>
      <x:c r="K75" s="11" t="n">
        <x:v>4000</x:v>
      </x:c>
      <x:c r="L75" s="11" t="n">
        <x:v>0</x:v>
      </x:c>
    </x:row>
    <x:row r="76" ht="30" customHeight="1">
      <x:c r="A76" s="9" t="str">
        <x:v>FactConsolidation MH 262K</x:v>
      </x:c>
      <x:c r="B76" s="9" t="str">
        <x:v>A full</x:v>
      </x:c>
      <x:c r="C76" s="11" t="n">
        <x:v>100</x:v>
      </x:c>
      <x:c r="D76" s="11" t="n">
        <x:v>488208</x:v>
      </x:c>
      <x:c r="E76" s="11" t="n">
        <x:v>71110</x:v>
      </x:c>
      <x:c r="F76" s="17" t="n">
        <x:v>4000</x:v>
      </x:c>
      <x:c r="G76" s="11" t="n">
        <x:v>0</x:v>
      </x:c>
      <x:c r="H76" s="11" t="n">
        <x:v>0</x:v>
      </x:c>
      <x:c r="I76" s="17" t="n">
        <x:v>5.082601604022784</x:v>
      </x:c>
      <x:c r="J76" s="17" t="n">
        <x:v>5.727607180993073</x:v>
      </x:c>
      <x:c r="K76" s="11" t="n">
        <x:v>4000</x:v>
      </x:c>
      <x:c r="L76" s="11" t="n">
        <x:v>0</x:v>
      </x:c>
    </x:row>
    <x:row r="77" ht="30" customHeight="1">
      <x:c r="A77" s="9" t="str">
        <x:v>FactConsolidation MH 262K</x:v>
      </x:c>
      <x:c r="B77" s="9" t="str">
        <x:v>A</x:v>
      </x:c>
      <x:c r="C77" s="11" t="n">
        <x:v>100</x:v>
      </x:c>
      <x:c r="D77" s="11" t="n">
        <x:v>488208</x:v>
      </x:c>
      <x:c r="E77" s="11" t="n">
        <x:v>71110</x:v>
      </x:c>
      <x:c r="F77" s="17" t="n">
        <x:v>4000</x:v>
      </x:c>
      <x:c r="G77" s="11" t="n">
        <x:v>0</x:v>
      </x:c>
      <x:c r="H77" s="11" t="n">
        <x:v>0</x:v>
      </x:c>
      <x:c r="I77" s="17" t="n">
        <x:v>5.082601604022784</x:v>
      </x:c>
      <x:c r="J77" s="17" t="n">
        <x:v>5.727607180993073</x:v>
      </x:c>
      <x:c r="K77" s="11" t="n">
        <x:v>4000</x:v>
      </x:c>
      <x:c r="L77" s="11" t="n">
        <x:v>0</x:v>
      </x:c>
    </x:row>
    <x:row r="78" ht="30" customHeight="1">
      <x:c r="A78" s="9" t="str">
        <x:v>FactConsolidation MH 262K</x:v>
      </x:c>
      <x:c r="B78" s="9" t="str">
        <x:v>B</x:v>
      </x:c>
      <x:c r="C78" s="11" t="n">
        <x:v>100</x:v>
      </x:c>
      <x:c r="D78" s="11" t="n">
        <x:v>469718</x:v>
      </x:c>
      <x:c r="E78" s="11" t="n">
        <x:v>70741</x:v>
      </x:c>
      <x:c r="F78" s="17" t="n">
        <x:v>3999.71</x:v>
      </x:c>
      <x:c r="G78" s="11" t="n">
        <x:v>0</x:v>
      </x:c>
      <x:c r="H78" s="11" t="n">
        <x:v>0</x:v>
      </x:c>
      <x:c r="I78" s="17" t="n">
        <x:v>5.196572749991901</x:v>
      </x:c>
      <x:c r="J78" s="17" t="n">
        <x:v>5.887409037761972</x:v>
      </x:c>
      <x:c r="K78" s="11" t="n">
        <x:v>4000</x:v>
      </x:c>
      <x:c r="L78" s="11" t="n">
        <x:v>0</x:v>
      </x:c>
    </x:row>
    <x:row r="79" ht="30" customHeight="1">
      <x:c r="A79" s="9" t="str">
        <x:v>FactConsolidation MH 262K</x:v>
      </x:c>
      <x:c r="B79" s="9" t="str">
        <x:v>C</x:v>
      </x:c>
      <x:c r="C79" s="11" t="n">
        <x:v>100</x:v>
      </x:c>
      <x:c r="D79" s="11" t="n">
        <x:v>493358</x:v>
      </x:c>
      <x:c r="E79" s="11" t="n">
        <x:v>71896</x:v>
      </x:c>
      <x:c r="F79" s="17" t="n">
        <x:v>3999.31</x:v>
      </x:c>
      <x:c r="G79" s="11" t="n">
        <x:v>0</x:v>
      </x:c>
      <x:c r="H79" s="11" t="n">
        <x:v>1</x:v>
      </x:c>
      <x:c r="I79" s="17" t="n">
        <x:v>4.8926407499820925</x:v>
      </x:c>
      <x:c r="J79" s="17" t="n">
        <x:v>5.699776766903232</x:v>
      </x:c>
      <x:c r="K79" s="11" t="n">
        <x:v>4000</x:v>
      </x:c>
      <x:c r="L79" s="11" t="n">
        <x:v>0</x:v>
      </x:c>
    </x:row>
    <x:row r="80" ht="30" customHeight="1">
      <x:c r="A80" s="9" t="str">
        <x:v>FactConsolidation MH 262K</x:v>
      </x:c>
      <x:c r="B80" s="9" t="str">
        <x:v>D</x:v>
      </x:c>
      <x:c r="C80" s="11" t="n">
        <x:v>100</x:v>
      </x:c>
      <x:c r="D80" s="11" t="n">
        <x:v>492266</x:v>
      </x:c>
      <x:c r="E80" s="11" t="n">
        <x:v>71952</x:v>
      </x:c>
      <x:c r="F80" s="17" t="n">
        <x:v>3998.87</x:v>
      </x:c>
      <x:c r="G80" s="11" t="n">
        <x:v>0</x:v>
      </x:c>
      <x:c r="H80" s="11" t="n">
        <x:v>0</x:v>
      </x:c>
      <x:c r="I80" s="17" t="n">
        <x:v>5.022509520524181</x:v>
      </x:c>
      <x:c r="J80" s="17" t="n">
        <x:v>5.600309381246916</x:v>
      </x:c>
      <x:c r="K80" s="11" t="n">
        <x:v>4000</x:v>
      </x:c>
      <x:c r="L80" s="11" t="n">
        <x:v>0</x:v>
      </x:c>
    </x:row>
    <x:row r="81" ht="30" customHeight="1">
      <x:c r="A81" s="9" t="str">
        <x:v>PersonaMem v2 32K</x:v>
      </x:c>
      <x:c r="B81" s="9" t="str">
        <x:v>A full</x:v>
      </x:c>
      <x:c r="C81" s="11" t="n">
        <x:v>5000</x:v>
      </x:c>
      <x:c r="D81" s="11" t="n">
        <x:v>22433679</x:v>
      </x:c>
      <x:c r="E81" s="11" t="n">
        <x:v>3347598</x:v>
      </x:c>
      <x:c r="F81" s="17" t="n">
        <x:v>3999.1276</x:v>
      </x:c>
      <x:c r="G81" s="11" t="n">
        <x:v>0</x:v>
      </x:c>
      <x:c r="H81" s="11" t="n">
        <x:v>0</x:v>
      </x:c>
      <x:c r="I81" s="17" t="n">
        <x:v>4.752556583000114</x:v>
      </x:c>
      <x:c r="J81" s="17" t="n">
        <x:v>6.054372501728357</x:v>
      </x:c>
      <x:c r="K81" s="11" t="n">
        <x:v>4000</x:v>
      </x:c>
      <x:c r="L81" s="11" t="n">
        <x:v>0</x:v>
      </x:c>
    </x:row>
    <x:row r="82" ht="30" customHeight="1">
      <x:c r="A82" s="9" t="str">
        <x:v>PersonaMem v2 32K</x:v>
      </x:c>
      <x:c r="B82" s="9" t="str">
        <x:v>A</x:v>
      </x:c>
      <x:c r="C82" s="11" t="n">
        <x:v>100</x:v>
      </x:c>
      <x:c r="D82" s="11" t="n">
        <x:v>449493</x:v>
      </x:c>
      <x:c r="E82" s="11" t="n">
        <x:v>67397</x:v>
      </x:c>
      <x:c r="F82" s="17" t="n">
        <x:v>3999.38</x:v>
      </x:c>
      <x:c r="G82" s="11" t="n">
        <x:v>0</x:v>
      </x:c>
      <x:c r="H82" s="11" t="n">
        <x:v>0</x:v>
      </x:c>
      <x:c r="I82" s="17" t="n">
        <x:v>4.962126228987472</x:v>
      </x:c>
      <x:c r="J82" s="17" t="n">
        <x:v>5.909720419044606</x:v>
      </x:c>
      <x:c r="K82" s="11" t="n">
        <x:v>4000</x:v>
      </x:c>
      <x:c r="L82" s="11" t="n">
        <x:v>0</x:v>
      </x:c>
    </x:row>
    <x:row r="83" ht="30" customHeight="1">
      <x:c r="A83" s="9" t="str">
        <x:v>PersonaMem v2 32K</x:v>
      </x:c>
      <x:c r="B83" s="9" t="str">
        <x:v>B</x:v>
      </x:c>
      <x:c r="C83" s="11" t="n">
        <x:v>100</x:v>
      </x:c>
      <x:c r="D83" s="11" t="n">
        <x:v>450874</x:v>
      </x:c>
      <x:c r="E83" s="11" t="n">
        <x:v>67319</x:v>
      </x:c>
      <x:c r="F83" s="17" t="n">
        <x:v>3999.08</x:v>
      </x:c>
      <x:c r="G83" s="11" t="n">
        <x:v>33</x:v>
      </x:c>
      <x:c r="H83" s="11" t="n">
        <x:v>0</x:v>
      </x:c>
      <x:c r="I83" s="17" t="n">
        <x:v>4.467943333031144</x:v>
      </x:c>
      <x:c r="J83" s="17" t="n">
        <x:v>6.354969316872301</x:v>
      </x:c>
      <x:c r="K83" s="11" t="n">
        <x:v>4000</x:v>
      </x:c>
      <x:c r="L83" s="11" t="n">
        <x:v>0</x:v>
      </x:c>
    </x:row>
    <x:row r="84" ht="30" customHeight="1">
      <x:c r="A84" s="9" t="str">
        <x:v>PersonaMem v2 32K</x:v>
      </x:c>
      <x:c r="B84" s="9" t="str">
        <x:v>C</x:v>
      </x:c>
      <x:c r="C84" s="11" t="n">
        <x:v>100</x:v>
      </x:c>
      <x:c r="D84" s="11" t="n">
        <x:v>450889</x:v>
      </x:c>
      <x:c r="E84" s="11" t="n">
        <x:v>67640</x:v>
      </x:c>
      <x:c r="F84" s="17" t="n">
        <x:v>3999.08</x:v>
      </x:c>
      <x:c r="G84" s="11" t="n">
        <x:v>95</x:v>
      </x:c>
      <x:c r="H84" s="11" t="n">
        <x:v>0</x:v>
      </x:c>
      <x:c r="I84" s="17" t="n">
        <x:v>4.133235208981205</x:v>
      </x:c>
      <x:c r="J84" s="17" t="n">
        <x:v>5.066833741613664</x:v>
      </x:c>
      <x:c r="K84" s="11" t="n">
        <x:v>4000</x:v>
      </x:c>
      <x:c r="L84" s="11" t="n">
        <x:v>0</x:v>
      </x:c>
    </x:row>
    <x:row r="85" ht="30" customHeight="1">
      <x:c r="A85" s="9" t="str">
        <x:v>PersonaMem v2 32K</x:v>
      </x:c>
      <x:c r="B85" s="9" t="str">
        <x:v>D</x:v>
      </x:c>
      <x:c r="C85" s="11" t="n">
        <x:v>100</x:v>
      </x:c>
      <x:c r="D85" s="11" t="n">
        <x:v>451000</x:v>
      </x:c>
      <x:c r="E85" s="11" t="n">
        <x:v>68068</x:v>
      </x:c>
      <x:c r="F85" s="17" t="n">
        <x:v>3999.39</x:v>
      </x:c>
      <x:c r="G85" s="11" t="n">
        <x:v>14</x:v>
      </x:c>
      <x:c r="H85" s="11" t="n">
        <x:v>0</x:v>
      </x:c>
      <x:c r="I85" s="17" t="n">
        <x:v>4.743261895491742</x:v>
      </x:c>
      <x:c r="J85" s="17" t="n">
        <x:v>5.923646291746991</x:v>
      </x:c>
      <x:c r="K85" s="11" t="n">
        <x:v>4000</x:v>
      </x:c>
      <x:c r="L85" s="11" t="n">
        <x:v>0</x:v>
      </x:c>
    </x:row>
    <x:row r="86" ht="30" customHeight="1">
      <x:c r="A86" s="9" t="str">
        <x:v>PersonaMem v2 128K</x:v>
      </x:c>
      <x:c r="B86" s="9" t="str">
        <x:v>A full</x:v>
      </x:c>
      <x:c r="C86" s="11" t="n">
        <x:v>5000</x:v>
      </x:c>
      <x:c r="D86" s="11" t="n">
        <x:v>22638777</x:v>
      </x:c>
      <x:c r="E86" s="11" t="n">
        <x:v>3363888</x:v>
      </x:c>
      <x:c r="F86" s="17" t="n">
        <x:v>3999.0212</x:v>
      </x:c>
      <x:c r="G86" s="11" t="n">
        <x:v>0</x:v>
      </x:c>
      <x:c r="H86" s="11" t="n">
        <x:v>0</x:v>
      </x:c>
      <x:c r="I86" s="17" t="n">
        <x:v>4.707975770987105</x:v>
      </x:c>
      <x:c r="J86" s="17" t="n">
        <x:v>5.999783037806628</x:v>
      </x:c>
      <x:c r="K86" s="11" t="n">
        <x:v>4000</x:v>
      </x:c>
      <x:c r="L86" s="11" t="n">
        <x:v>0</x:v>
      </x:c>
    </x:row>
    <x:row r="87" ht="30" customHeight="1">
      <x:c r="A87" s="9" t="str">
        <x:v>PersonaMem v2 128K</x:v>
      </x:c>
      <x:c r="B87" s="9" t="str">
        <x:v>A</x:v>
      </x:c>
      <x:c r="C87" s="11" t="n">
        <x:v>100</x:v>
      </x:c>
      <x:c r="D87" s="11" t="n">
        <x:v>453699</x:v>
      </x:c>
      <x:c r="E87" s="11" t="n">
        <x:v>66746</x:v>
      </x:c>
      <x:c r="F87" s="17" t="n">
        <x:v>3998.49</x:v>
      </x:c>
      <x:c r="G87" s="11" t="n">
        <x:v>0</x:v>
      </x:c>
      <x:c r="H87" s="11" t="n">
        <x:v>0</x:v>
      </x:c>
      <x:c r="I87" s="17" t="n">
        <x:v>4.790096104494296</x:v>
      </x:c>
      <x:c r="J87" s="17" t="n">
        <x:v>5.912182644015411</x:v>
      </x:c>
      <x:c r="K87" s="11" t="n">
        <x:v>4000</x:v>
      </x:c>
      <x:c r="L87" s="11" t="n">
        <x:v>0</x:v>
      </x:c>
    </x:row>
    <x:row r="88" ht="30" customHeight="1">
      <x:c r="A88" s="9" t="str">
        <x:v>PersonaMem v2 128K</x:v>
      </x:c>
      <x:c r="B88" s="9" t="str">
        <x:v>B</x:v>
      </x:c>
      <x:c r="C88" s="11" t="n">
        <x:v>100</x:v>
      </x:c>
      <x:c r="D88" s="11" t="n">
        <x:v>454836</x:v>
      </x:c>
      <x:c r="E88" s="11" t="n">
        <x:v>67156</x:v>
      </x:c>
      <x:c r="F88" s="17" t="n">
        <x:v>3998.62</x:v>
      </x:c>
      <x:c r="G88" s="11" t="n">
        <x:v>37</x:v>
      </x:c>
      <x:c r="H88" s="11" t="n">
        <x:v>0</x:v>
      </x:c>
      <x:c r="I88" s="17" t="n">
        <x:v>4.979254957986996</x:v>
      </x:c>
      <x:c r="J88" s="17" t="n">
        <x:v>5.932271674700314</x:v>
      </x:c>
      <x:c r="K88" s="11" t="n">
        <x:v>4000</x:v>
      </x:c>
      <x:c r="L88" s="11" t="n">
        <x:v>0</x:v>
      </x:c>
    </x:row>
    <x:row r="89" ht="30" customHeight="1">
      <x:c r="A89" s="9" t="str">
        <x:v>PersonaMem v2 128K</x:v>
      </x:c>
      <x:c r="B89" s="9" t="str">
        <x:v>C</x:v>
      </x:c>
      <x:c r="C89" s="11" t="n">
        <x:v>100</x:v>
      </x:c>
      <x:c r="D89" s="11" t="n">
        <x:v>454916</x:v>
      </x:c>
      <x:c r="E89" s="11" t="n">
        <x:v>67331</x:v>
      </x:c>
      <x:c r="F89" s="17" t="n">
        <x:v>3998.66</x:v>
      </x:c>
      <x:c r="G89" s="11" t="n">
        <x:v>93</x:v>
      </x:c>
      <x:c r="H89" s="11" t="n">
        <x:v>0</x:v>
      </x:c>
      <x:c r="I89" s="17" t="n">
        <x:v>4.406336540996563</x:v>
      </x:c>
      <x:c r="J89" s="17" t="n">
        <x:v>5.988549804390641</x:v>
      </x:c>
      <x:c r="K89" s="11" t="n">
        <x:v>4000</x:v>
      </x:c>
      <x:c r="L89" s="11" t="n">
        <x:v>0</x:v>
      </x:c>
    </x:row>
    <x:row r="90" ht="30" customHeight="1">
      <x:c r="A90" s="9" t="str">
        <x:v>PersonaMem v2 128K</x:v>
      </x:c>
      <x:c r="B90" s="9" t="str">
        <x:v>D</x:v>
      </x:c>
      <x:c r="C90" s="11" t="n">
        <x:v>100</x:v>
      </x:c>
      <x:c r="D90" s="11" t="n">
        <x:v>455084</x:v>
      </x:c>
      <x:c r="E90" s="11" t="n">
        <x:v>65554</x:v>
      </x:c>
      <x:c r="F90" s="17" t="n">
        <x:v>3998.61</x:v>
      </x:c>
      <x:c r="G90" s="11" t="n">
        <x:v>16</x:v>
      </x:c>
      <x:c r="H90" s="11" t="n">
        <x:v>0</x:v>
      </x:c>
      <x:c r="I90" s="17" t="n">
        <x:v>4.465427708491916</x:v>
      </x:c>
      <x:c r="J90" s="17" t="n">
        <x:v>5.947309206283535</x:v>
      </x:c>
      <x:c r="K90" s="11" t="n">
        <x:v>4000</x:v>
      </x:c>
      <x:c r="L90" s="11" t="n">
        <x:v>0</x:v>
      </x:c>
    </x:row>
    <x:row r="91" ht="30" customHeight="1">
      <x:c r="A91" s="9" t="str">
        <x:v>BEAM 100K</x:v>
      </x:c>
      <x:c r="B91" s="9" t="str">
        <x:v>A full</x:v>
      </x:c>
      <x:c r="C91" s="11" t="n">
        <x:v>400</x:v>
      </x:c>
      <x:c r="D91" s="11" t="n">
        <x:v>1613564</x:v>
      </x:c>
      <x:c r="E91" s="11" t="n">
        <x:v>254904</x:v>
      </x:c>
      <x:c r="F91" s="17" t="n">
        <x:v>3999.74</x:v>
      </x:c>
      <x:c r="G91" s="11" t="n">
        <x:v>1</x:v>
      </x:c>
      <x:c r="H91" s="11" t="n">
        <x:v>0</x:v>
      </x:c>
      <x:c r="I91" s="17" t="n">
        <x:v>4.548238292045426</x:v>
      </x:c>
      <x:c r="J91" s="17" t="n">
        <x:v>6.03068130419706</x:v>
      </x:c>
      <x:c r="K91" s="11" t="n">
        <x:v>4000</x:v>
      </x:c>
      <x:c r="L91" s="11" t="n">
        <x:v>0</x:v>
      </x:c>
    </x:row>
    <x:row r="92" ht="30" customHeight="1">
      <x:c r="A92" s="9" t="str">
        <x:v>BEAM 100K</x:v>
      </x:c>
      <x:c r="B92" s="9" t="str">
        <x:v>A</x:v>
      </x:c>
      <x:c r="C92" s="11" t="n">
        <x:v>100</x:v>
      </x:c>
      <x:c r="D92" s="11" t="n">
        <x:v>399640</x:v>
      </x:c>
      <x:c r="E92" s="11" t="n">
        <x:v>62317</x:v>
      </x:c>
      <x:c r="F92" s="17" t="n">
        <x:v>3999.6</x:v>
      </x:c>
      <x:c r="G92" s="11" t="n">
        <x:v>0</x:v>
      </x:c>
      <x:c r="H92" s="11" t="n">
        <x:v>0</x:v>
      </x:c>
      <x:c r="I92" s="17" t="n">
        <x:v>4.387098186969524</x:v>
      </x:c>
      <x:c r="J92" s="17" t="n">
        <x:v>5.8751392252946975</x:v>
      </x:c>
      <x:c r="K92" s="11" t="n">
        <x:v>4000</x:v>
      </x:c>
      <x:c r="L92" s="11" t="n">
        <x:v>0</x:v>
      </x:c>
    </x:row>
    <x:row r="93" ht="30" customHeight="1">
      <x:c r="A93" s="9" t="str">
        <x:v>BEAM 100K</x:v>
      </x:c>
      <x:c r="B93" s="9" t="str">
        <x:v>B</x:v>
      </x:c>
      <x:c r="C93" s="11" t="n">
        <x:v>100</x:v>
      </x:c>
      <x:c r="D93" s="11" t="n">
        <x:v>400280</x:v>
      </x:c>
      <x:c r="E93" s="11" t="n">
        <x:v>63184</x:v>
      </x:c>
      <x:c r="F93" s="17" t="n">
        <x:v>3999.8</x:v>
      </x:c>
      <x:c r="G93" s="11" t="n">
        <x:v>65</x:v>
      </x:c>
      <x:c r="H93" s="11" t="n">
        <x:v>0</x:v>
      </x:c>
      <x:c r="I93" s="17" t="n">
        <x:v>4.557481917028781</x:v>
      </x:c>
      <x:c r="J93" s="17" t="n">
        <x:v>6.236282237514387</x:v>
      </x:c>
      <x:c r="K93" s="11" t="n">
        <x:v>4000</x:v>
      </x:c>
      <x:c r="L93" s="11" t="n">
        <x:v>0</x:v>
      </x:c>
    </x:row>
    <x:row r="94" ht="30" customHeight="1">
      <x:c r="A94" s="9" t="str">
        <x:v>BEAM 100K</x:v>
      </x:c>
      <x:c r="B94" s="9" t="str">
        <x:v>C</x:v>
      </x:c>
      <x:c r="C94" s="11" t="n">
        <x:v>100</x:v>
      </x:c>
      <x:c r="D94" s="11" t="n">
        <x:v>402832</x:v>
      </x:c>
      <x:c r="E94" s="11" t="n">
        <x:v>62382</x:v>
      </x:c>
      <x:c r="F94" s="17" t="n">
        <x:v>3999.47</x:v>
      </x:c>
      <x:c r="G94" s="11" t="n">
        <x:v>65</x:v>
      </x:c>
      <x:c r="H94" s="11" t="n">
        <x:v>0</x:v>
      </x:c>
      <x:c r="I94" s="17" t="n">
        <x:v>4.296652499993797</x:v>
      </x:c>
      <x:c r="J94" s="17" t="n">
        <x:v>5.955078337609302</x:v>
      </x:c>
      <x:c r="K94" s="11" t="n">
        <x:v>4000</x:v>
      </x:c>
      <x:c r="L94" s="11" t="n">
        <x:v>0</x:v>
      </x:c>
    </x:row>
    <x:row r="95" ht="30" customHeight="1">
      <x:c r="A95" s="9" t="str">
        <x:v>BEAM 100K</x:v>
      </x:c>
      <x:c r="B95" s="9" t="str">
        <x:v>D</x:v>
      </x:c>
      <x:c r="C95" s="11" t="n">
        <x:v>100</x:v>
      </x:c>
      <x:c r="D95" s="11" t="n">
        <x:v>412751</x:v>
      </x:c>
      <x:c r="E95" s="11" t="n">
        <x:v>63095</x:v>
      </x:c>
      <x:c r="F95" s="17" t="n">
        <x:v>3999.53</x:v>
      </x:c>
      <x:c r="G95" s="11" t="n">
        <x:v>2</x:v>
      </x:c>
      <x:c r="H95" s="11" t="n">
        <x:v>0</x:v>
      </x:c>
      <x:c r="I95" s="17" t="n">
        <x:v>4.627487187972292</x:v>
      </x:c>
      <x:c r="J95" s="17" t="n">
        <x:v>5.928664341999683</x:v>
      </x:c>
      <x:c r="K95" s="11" t="n">
        <x:v>4000</x:v>
      </x:c>
      <x:c r="L95" s="11" t="n">
        <x:v>0</x:v>
      </x:c>
    </x:row>
    <x:row r="96" ht="30" customHeight="1">
      <x:c r="A96" s="9" t="str">
        <x:v>BEAM 500K</x:v>
      </x:c>
      <x:c r="B96" s="9" t="str">
        <x:v>A full</x:v>
      </x:c>
      <x:c r="C96" s="11" t="n">
        <x:v>700</x:v>
      </x:c>
      <x:c r="D96" s="11" t="n">
        <x:v>2807344</x:v>
      </x:c>
      <x:c r="E96" s="11" t="n">
        <x:v>452298</x:v>
      </x:c>
      <x:c r="F96" s="17" t="n">
        <x:v>3999.7657142857142</x:v>
      </x:c>
      <x:c r="G96" s="11" t="n">
        <x:v>1</x:v>
      </x:c>
      <x:c r="H96" s="11" t="n">
        <x:v>0</x:v>
      </x:c>
      <x:c r="I96" s="17" t="n">
        <x:v>4.4523552089813165</x:v>
      </x:c>
      <x:c r="J96" s="17" t="n">
        <x:v>6.063525454729097</x:v>
      </x:c>
      <x:c r="K96" s="11" t="n">
        <x:v>4000</x:v>
      </x:c>
      <x:c r="L96" s="11" t="n">
        <x:v>0</x:v>
      </x:c>
    </x:row>
    <x:row r="97" ht="30" customHeight="1">
      <x:c r="A97" s="9" t="str">
        <x:v>BEAM 500K</x:v>
      </x:c>
      <x:c r="B97" s="9" t="str">
        <x:v>A</x:v>
      </x:c>
      <x:c r="C97" s="11" t="n">
        <x:v>100</x:v>
      </x:c>
      <x:c r="D97" s="11" t="n">
        <x:v>401168</x:v>
      </x:c>
      <x:c r="E97" s="11" t="n">
        <x:v>65428</x:v>
      </x:c>
      <x:c r="F97" s="17" t="n">
        <x:v>4000</x:v>
      </x:c>
      <x:c r="G97" s="11" t="n">
        <x:v>0</x:v>
      </x:c>
      <x:c r="H97" s="11" t="n">
        <x:v>0</x:v>
      </x:c>
      <x:c r="I97" s="17" t="n">
        <x:v>4.369811791490065</x:v>
      </x:c>
      <x:c r="J97" s="17" t="n">
        <x:v>5.874228195566684</x:v>
      </x:c>
      <x:c r="K97" s="11" t="n">
        <x:v>4000</x:v>
      </x:c>
      <x:c r="L97" s="11" t="n">
        <x:v>0</x:v>
      </x:c>
    </x:row>
    <x:row r="98" ht="30" customHeight="1">
      <x:c r="A98" s="9" t="str">
        <x:v>BEAM 500K</x:v>
      </x:c>
      <x:c r="B98" s="9" t="str">
        <x:v>B</x:v>
      </x:c>
      <x:c r="C98" s="11" t="n">
        <x:v>100</x:v>
      </x:c>
      <x:c r="D98" s="11" t="n">
        <x:v>401610</x:v>
      </x:c>
      <x:c r="E98" s="11" t="n">
        <x:v>64828</x:v>
      </x:c>
      <x:c r="F98" s="17" t="n">
        <x:v>3999.84</x:v>
      </x:c>
      <x:c r="G98" s="11" t="n">
        <x:v>50</x:v>
      </x:c>
      <x:c r="H98" s="11" t="n">
        <x:v>0</x:v>
      </x:c>
      <x:c r="I98" s="17" t="n">
        <x:v>4.523928791517392</x:v>
      </x:c>
      <x:c r="J98" s="17" t="n">
        <x:v>6.0568332354916485</x:v>
      </x:c>
      <x:c r="K98" s="11" t="n">
        <x:v>4000</x:v>
      </x:c>
      <x:c r="L98" s="11" t="n">
        <x:v>0</x:v>
      </x:c>
    </x:row>
    <x:row r="99" ht="30" customHeight="1">
      <x:c r="A99" s="9" t="str">
        <x:v>BEAM 500K</x:v>
      </x:c>
      <x:c r="B99" s="9" t="str">
        <x:v>C</x:v>
      </x:c>
      <x:c r="C99" s="11" t="n">
        <x:v>100</x:v>
      </x:c>
      <x:c r="D99" s="11" t="n">
        <x:v>403583</x:v>
      </x:c>
      <x:c r="E99" s="11" t="n">
        <x:v>65110</x:v>
      </x:c>
      <x:c r="F99" s="17" t="n">
        <x:v>3999.76</x:v>
      </x:c>
      <x:c r="G99" s="11" t="n">
        <x:v>50</x:v>
      </x:c>
      <x:c r="H99" s="11" t="n">
        <x:v>0</x:v>
      </x:c>
      <x:c r="I99" s="17" t="n">
        <x:v>4.786008541996125</x:v>
      </x:c>
      <x:c r="J99" s="17" t="n">
        <x:v>5.77148274552601</x:v>
      </x:c>
      <x:c r="K99" s="11" t="n">
        <x:v>4000</x:v>
      </x:c>
      <x:c r="L99" s="11" t="n">
        <x:v>0</x:v>
      </x:c>
    </x:row>
    <x:row r="100" ht="30" customHeight="1">
      <x:c r="A100" s="9" t="str">
        <x:v>BEAM 500K</x:v>
      </x:c>
      <x:c r="B100" s="9" t="str">
        <x:v>D</x:v>
      </x:c>
      <x:c r="C100" s="11" t="n">
        <x:v>100</x:v>
      </x:c>
      <x:c r="D100" s="11" t="n">
        <x:v>406981</x:v>
      </x:c>
      <x:c r="E100" s="11" t="n">
        <x:v>65143</x:v>
      </x:c>
      <x:c r="F100" s="17" t="n">
        <x:v>3999.76</x:v>
      </x:c>
      <x:c r="G100" s="11" t="n">
        <x:v>2</x:v>
      </x:c>
      <x:c r="H100" s="11" t="n">
        <x:v>0</x:v>
      </x:c>
      <x:c r="I100" s="17" t="n">
        <x:v>4.224768311978551</x:v>
      </x:c>
      <x:c r="J100" s="17" t="n">
        <x:v>6.038347828621045</x:v>
      </x:c>
      <x:c r="K100" s="11" t="n">
        <x:v>4000</x:v>
      </x:c>
      <x:c r="L100" s="11" t="n">
        <x:v>0</x:v>
      </x:c>
    </x:row>
    <x:row r="101" ht="30" customHeight="1">
      <x:c r="A101" s="9" t="str">
        <x:v>BEAM 1M</x:v>
      </x:c>
      <x:c r="B101" s="9" t="str">
        <x:v>A full</x:v>
      </x:c>
      <x:c r="C101" s="11" t="n">
        <x:v>700</x:v>
      </x:c>
      <x:c r="D101" s="11" t="n">
        <x:v>2775958</x:v>
      </x:c>
      <x:c r="E101" s="11" t="n">
        <x:v>448983</x:v>
      </x:c>
      <x:c r="F101" s="17" t="n">
        <x:v>3999.7357142857145</x:v>
      </x:c>
      <x:c r="G101" s="11" t="n">
        <x:v>1</x:v>
      </x:c>
      <x:c r="H101" s="11" t="n">
        <x:v>0</x:v>
      </x:c>
      <x:c r="I101" s="17" t="n">
        <x:v>4.549384582962375</x:v>
      </x:c>
      <x:c r="J101" s="17" t="n">
        <x:v>6.094289554399438</x:v>
      </x:c>
      <x:c r="K101" s="11" t="n">
        <x:v>4000</x:v>
      </x:c>
      <x:c r="L101" s="11" t="n">
        <x:v>0</x:v>
      </x:c>
    </x:row>
    <x:row r="102" ht="30" customHeight="1">
      <x:c r="A102" s="9" t="str">
        <x:v>BEAM 1M</x:v>
      </x:c>
      <x:c r="B102" s="9" t="str">
        <x:v>A</x:v>
      </x:c>
      <x:c r="C102" s="11" t="n">
        <x:v>100</x:v>
      </x:c>
      <x:c r="D102" s="11" t="n">
        <x:v>393618</x:v>
      </x:c>
      <x:c r="E102" s="11" t="n">
        <x:v>65362</x:v>
      </x:c>
      <x:c r="F102" s="17" t="n">
        <x:v>3999.58</x:v>
      </x:c>
      <x:c r="G102" s="11" t="n">
        <x:v>1</x:v>
      </x:c>
      <x:c r="H102" s="11" t="n">
        <x:v>0</x:v>
      </x:c>
      <x:c r="I102" s="17" t="n">
        <x:v>4.460246917034965</x:v>
      </x:c>
      <x:c r="J102" s="17" t="n">
        <x:v>6.071773354412289</x:v>
      </x:c>
      <x:c r="K102" s="11" t="n">
        <x:v>4000</x:v>
      </x:c>
      <x:c r="L102" s="11" t="n">
        <x:v>0</x:v>
      </x:c>
    </x:row>
    <x:row r="103" ht="30" customHeight="1">
      <x:c r="A103" s="9" t="str">
        <x:v>BEAM 1M</x:v>
      </x:c>
      <x:c r="B103" s="9" t="str">
        <x:v>B</x:v>
      </x:c>
      <x:c r="C103" s="11" t="n">
        <x:v>100</x:v>
      </x:c>
      <x:c r="D103" s="11" t="n">
        <x:v>394214</x:v>
      </x:c>
      <x:c r="E103" s="11" t="n">
        <x:v>65238</x:v>
      </x:c>
      <x:c r="F103" s="17" t="n">
        <x:v>3999.5</x:v>
      </x:c>
      <x:c r="G103" s="11" t="n">
        <x:v>57</x:v>
      </x:c>
      <x:c r="H103" s="11" t="n">
        <x:v>0</x:v>
      </x:c>
      <x:c r="I103" s="17" t="n">
        <x:v>4.7042092910269275</x:v>
      </x:c>
      <x:c r="J103" s="17" t="n">
        <x:v>6.26728522053454</x:v>
      </x:c>
      <x:c r="K103" s="11" t="n">
        <x:v>4000</x:v>
      </x:c>
      <x:c r="L103" s="11" t="n">
        <x:v>0</x:v>
      </x:c>
    </x:row>
    <x:row r="104" ht="30" customHeight="1">
      <x:c r="A104" s="9" t="str">
        <x:v>BEAM 1M</x:v>
      </x:c>
      <x:c r="B104" s="9" t="str">
        <x:v>C</x:v>
      </x:c>
      <x:c r="C104" s="11" t="n">
        <x:v>100</x:v>
      </x:c>
      <x:c r="D104" s="11" t="n">
        <x:v>396456</x:v>
      </x:c>
      <x:c r="E104" s="11" t="n">
        <x:v>65491</x:v>
      </x:c>
      <x:c r="F104" s="17" t="n">
        <x:v>3999.53</x:v>
      </x:c>
      <x:c r="G104" s="11" t="n">
        <x:v>57</x:v>
      </x:c>
      <x:c r="H104" s="11" t="n">
        <x:v>0</x:v>
      </x:c>
      <x:c r="I104" s="17" t="n">
        <x:v>4.453513832995668</x:v>
      </x:c>
      <x:c r="J104" s="17" t="n">
        <x:v>6.22344811251387</x:v>
      </x:c>
      <x:c r="K104" s="11" t="n">
        <x:v>4000</x:v>
      </x:c>
      <x:c r="L104" s="11" t="n">
        <x:v>0</x:v>
      </x:c>
    </x:row>
    <x:row r="105" ht="30" customHeight="1">
      <x:c r="A105" s="9" t="str">
        <x:v>BEAM 1M</x:v>
      </x:c>
      <x:c r="B105" s="9" t="str">
        <x:v>D</x:v>
      </x:c>
      <x:c r="C105" s="11" t="n">
        <x:v>100</x:v>
      </x:c>
      <x:c r="D105" s="11" t="n">
        <x:v>402179</x:v>
      </x:c>
      <x:c r="E105" s="11" t="n">
        <x:v>64456</x:v>
      </x:c>
      <x:c r="F105" s="17" t="n">
        <x:v>3999.53</x:v>
      </x:c>
      <x:c r="G105" s="11" t="n">
        <x:v>6</x:v>
      </x:c>
      <x:c r="H105" s="11" t="n">
        <x:v>0</x:v>
      </x:c>
      <x:c r="I105" s="17" t="n">
        <x:v>4.625884291512193</x:v>
      </x:c>
      <x:c r="J105" s="17" t="n">
        <x:v>6.2454871124908085</x:v>
      </x:c>
      <x:c r="K105" s="11" t="n">
        <x:v>4000</x:v>
      </x:c>
      <x:c r="L105" s="11" t="n">
        <x:v>0</x:v>
      </x:c>
    </x:row>
  </x:sheetData>
  <x:mergeCells>
    <x:mergeCell ref="A2:L3"/>
  </x:mergeCells>
  <x:pageMargins left="0.7" right="0.7" top="0.75" bottom="0.75" header="0.3" footer="0.3"/>
  <x:tableParts count="1">
    <x:tablePart xmlns:r="http://schemas.openxmlformats.org/officeDocument/2006/relationships" r:id="R9313cf64ac494057"/>
  </x:tableParts>
</x:worksheet>
</file>

<file path=xl/worksheets/sheet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2" hidden="0" customWidth="1"/>
    <x:col min="3" max="3" width="18" hidden="0" customWidth="1"/>
    <x:col min="4" max="4" width="12" hidden="0" customWidth="1"/>
    <x:col min="5" max="5" width="12" hidden="0" customWidth="1"/>
    <x:col min="6" max="6" width="12" hidden="0" customWidth="1"/>
    <x:col min="7" max="7" width="17" hidden="0" customWidth="1"/>
    <x:col min="8" max="8" width="19" hidden="0" customWidth="1"/>
  </x:cols>
  <x:sheetData>
    <x:row r="1" ht="32" customHeight="1">
      <x:c r="A1" s="3" t="str">
        <x:v>Version A retrieval diagnostics</x:v>
      </x:c>
      <x:c r="B1" s="2"/>
      <x:c r="C1" s="2"/>
      <x:c r="D1" s="2"/>
      <x:c r="E1" s="2"/>
      <x:c r="F1" s="2"/>
      <x:c r="G1" s="2"/>
      <x:c r="H1" s="2"/>
    </x:row>
    <x:row r="2" ht="22" customHeight="1">
      <x:c r="A2" s="5" t="str">
        <x:v>Scores /100. MultiHop-RAG uses source/article evidence coverage, not the paper fact Hit@K. Blank means no applicable metric or gold evidence. Gold Q is the denominator; incomplete evidence exclusions are recorded separately.</x:v>
      </x:c>
      <x:c r="B2" s="5"/>
      <x:c r="C2" s="5"/>
      <x:c r="D2" s="5"/>
      <x:c r="E2" s="5"/>
      <x:c r="F2" s="5"/>
      <x:c r="G2" s="5"/>
      <x:c r="H2" s="5"/>
    </x:row>
    <x:row r="3" ht="22" customHeight="1">
      <x:c r="A3" s="5"/>
      <x:c r="B3" s="5"/>
      <x:c r="C3" s="5"/>
      <x:c r="D3" s="5"/>
      <x:c r="E3" s="5"/>
      <x:c r="F3" s="5"/>
      <x:c r="G3" s="5"/>
      <x:c r="H3" s="5"/>
    </x:row>
    <x:row r="4" ht="10" customHeight="1">
      <x:c r="A4" s="2"/>
      <x:c r="B4" s="2"/>
      <x:c r="C4" s="2"/>
      <x:c r="D4" s="2"/>
      <x:c r="E4" s="2"/>
      <x:c r="F4" s="2"/>
      <x:c r="G4" s="2"/>
      <x:c r="H4" s="2"/>
    </x:row>
    <x:row r="5" ht="48" customHeight="1">
      <x:c r="A5" s="8" t="str">
        <x:v>Test</x:v>
      </x:c>
      <x:c r="B5" s="8" t="str">
        <x:v>Gold Q</x:v>
      </x:c>
      <x:c r="C5" s="8" t="str">
        <x:v>Incomplete excluded</x:v>
      </x:c>
      <x:c r="D5" s="8" t="str">
        <x:v>Recall@5</x:v>
      </x:c>
      <x:c r="E5" s="8" t="str">
        <x:v>Recall@10</x:v>
      </x:c>
      <x:c r="F5" s="8" t="str">
        <x:v>Recall@100</x:v>
      </x:c>
      <x:c r="G5" s="8" t="str">
        <x:v>Recall in 4K</x:v>
      </x:c>
      <x:c r="H5" s="8" t="str">
        <x:v>All evidence in 4K</x:v>
      </x:c>
    </x:row>
    <x:row r="6" ht="30" customHeight="1">
      <x:c r="A6" s="9" t="str">
        <x:v>LoCoMo</x:v>
      </x:c>
      <x:c r="B6" s="11" t="n">
        <x:v>1531</x:v>
      </x:c>
      <x:c r="C6" s="11" t="n">
        <x:v>5</x:v>
      </x:c>
      <x:c r="D6" s="12" t="n">
        <x:v>34.41262863833656</x:v>
      </x:c>
      <x:c r="E6" s="12" t="n">
        <x:v>44.49332031765658</x:v>
      </x:c>
      <x:c r="F6" s="12" t="n">
        <x:v>79.79138583408846</x:v>
      </x:c>
      <x:c r="G6" s="12" t="n">
        <x:v>73.03886453111043</x:v>
      </x:c>
      <x:c r="H6" s="12" t="n">
        <x:v>66.88438928804703</x:v>
      </x:c>
    </x:row>
    <x:row r="7" ht="30" customHeight="1">
      <x:c r="A7" s="9" t="str">
        <x:v>LoCoMo adversarial</x:v>
      </x:c>
      <x:c r="B7" s="11" t="n">
        <x:v>0</x:v>
      </x:c>
      <x:c r="C7" s="11" t="n">
        <x:v>0</x:v>
      </x:c>
      <x:c r="D7" s="12"/>
      <x:c r="E7" s="12"/>
      <x:c r="F7" s="12"/>
      <x:c r="G7" s="12"/>
      <x:c r="H7" s="12"/>
    </x:row>
    <x:row r="8" ht="30" customHeight="1">
      <x:c r="A8" s="9" t="str">
        <x:v>MuSiQue</x:v>
      </x:c>
      <x:c r="B8" s="11" t="n">
        <x:v>1000</x:v>
      </x:c>
      <x:c r="C8" s="11" t="n">
        <x:v>0</x:v>
      </x:c>
      <x:c r="D8" s="12" t="n">
        <x:v>50.141666666666666</x:v>
      </x:c>
      <x:c r="E8" s="12" t="n">
        <x:v>59.11666666666666</x:v>
      </x:c>
      <x:c r="F8" s="12" t="n">
        <x:v>80.04166666666667</x:v>
      </x:c>
      <x:c r="G8" s="12" t="n">
        <x:v>67.71666666666667</x:v>
      </x:c>
      <x:c r="H8" s="12" t="n">
        <x:v>34.4</x:v>
      </x:c>
    </x:row>
    <x:row r="9" ht="30" customHeight="1">
      <x:c r="A9" s="9" t="str">
        <x:v>2WikiMultiHopQA</x:v>
      </x:c>
      <x:c r="B9" s="11" t="n">
        <x:v>1000</x:v>
      </x:c>
      <x:c r="C9" s="11" t="n">
        <x:v>0</x:v>
      </x:c>
      <x:c r="D9" s="12" t="n">
        <x:v>67.575</x:v>
      </x:c>
      <x:c r="E9" s="12" t="n">
        <x:v>71.8</x:v>
      </x:c>
      <x:c r="F9" s="12" t="n">
        <x:v>80.4</x:v>
      </x:c>
      <x:c r="G9" s="12" t="n">
        <x:v>75.47500000000001</x:v>
      </x:c>
      <x:c r="H9" s="12" t="n">
        <x:v>48</x:v>
      </x:c>
    </x:row>
    <x:row r="10" ht="30" customHeight="1">
      <x:c r="A10" s="9" t="str">
        <x:v>LongMemEval S</x:v>
      </x:c>
      <x:c r="B10" s="11" t="n">
        <x:v>479</x:v>
      </x:c>
      <x:c r="C10" s="11" t="n">
        <x:v>0</x:v>
      </x:c>
      <x:c r="D10" s="12" t="n">
        <x:v>64.60334029227558</x:v>
      </x:c>
      <x:c r="E10" s="12" t="n">
        <x:v>80.45233124565067</x:v>
      </x:c>
      <x:c r="F10" s="12" t="n">
        <x:v>97.72094641614476</x:v>
      </x:c>
      <x:c r="G10" s="12" t="n">
        <x:v>84.37717466945024</x:v>
      </x:c>
      <x:c r="H10" s="12" t="n">
        <x:v>75.99164926931107</x:v>
      </x:c>
    </x:row>
    <x:row r="11" ht="30" customHeight="1">
      <x:c r="A11" s="9" t="str">
        <x:v>LongMemEval oracle</x:v>
      </x:c>
      <x:c r="B11" s="11" t="n">
        <x:v>479</x:v>
      </x:c>
      <x:c r="C11" s="11" t="n">
        <x:v>0</x:v>
      </x:c>
      <x:c r="D11" s="12" t="n">
        <x:v>71.70146137787057</x:v>
      </x:c>
      <x:c r="E11" s="12" t="n">
        <x:v>86.96590118302018</x:v>
      </x:c>
      <x:c r="F11" s="12" t="n">
        <x:v>100</x:v>
      </x:c>
      <x:c r="G11" s="12" t="n">
        <x:v>88.69519832985387</x:v>
      </x:c>
      <x:c r="H11" s="12" t="n">
        <x:v>81.83716075156576</x:v>
      </x:c>
    </x:row>
    <x:row r="12" ht="30" customHeight="1">
      <x:c r="A12" s="9" t="str">
        <x:v>MultiHop-RAG</x:v>
      </x:c>
      <x:c r="B12" s="11" t="n">
        <x:v>2255</x:v>
      </x:c>
      <x:c r="C12" s="11" t="n">
        <x:v>0</x:v>
      </x:c>
      <x:c r="D12" s="12" t="n">
        <x:v>69.53067257945307</x:v>
      </x:c>
      <x:c r="E12" s="12" t="n">
        <x:v>83.14486326681448</x:v>
      </x:c>
      <x:c r="F12" s="12" t="n">
        <x:v>99.41241685144124</x:v>
      </x:c>
      <x:c r="G12" s="12" t="n">
        <x:v>70.28085735402809</x:v>
      </x:c>
      <x:c r="H12" s="12" t="n">
        <x:v>41.55210643015521</x:v>
      </x:c>
    </x:row>
    <x:row r="13" ht="30" customHeight="1">
      <x:c r="A13" s="9" t="str">
        <x:v>FactConsolidation SH 6K</x:v>
      </x:c>
      <x:c r="B13" s="11" t="n">
        <x:v>0</x:v>
      </x:c>
      <x:c r="C13" s="11" t="n">
        <x:v>0</x:v>
      </x:c>
      <x:c r="D13" s="12"/>
      <x:c r="E13" s="12"/>
      <x:c r="F13" s="12"/>
      <x:c r="G13" s="12"/>
      <x:c r="H13" s="12"/>
    </x:row>
    <x:row r="14" ht="30" customHeight="1">
      <x:c r="A14" s="9" t="str">
        <x:v>FactConsolidation MH 6K</x:v>
      </x:c>
      <x:c r="B14" s="11" t="n">
        <x:v>0</x:v>
      </x:c>
      <x:c r="C14" s="11" t="n">
        <x:v>0</x:v>
      </x:c>
      <x:c r="D14" s="12"/>
      <x:c r="E14" s="12"/>
      <x:c r="F14" s="12"/>
      <x:c r="G14" s="12"/>
      <x:c r="H14" s="12"/>
    </x:row>
    <x:row r="15" ht="30" customHeight="1">
      <x:c r="A15" s="9" t="str">
        <x:v>FactConsolidation SH 32K</x:v>
      </x:c>
      <x:c r="B15" s="11" t="n">
        <x:v>0</x:v>
      </x:c>
      <x:c r="C15" s="11" t="n">
        <x:v>0</x:v>
      </x:c>
      <x:c r="D15" s="12"/>
      <x:c r="E15" s="12"/>
      <x:c r="F15" s="12"/>
      <x:c r="G15" s="12"/>
      <x:c r="H15" s="12"/>
    </x:row>
    <x:row r="16" ht="30" customHeight="1">
      <x:c r="A16" s="9" t="str">
        <x:v>FactConsolidation MH 32K</x:v>
      </x:c>
      <x:c r="B16" s="11" t="n">
        <x:v>0</x:v>
      </x:c>
      <x:c r="C16" s="11" t="n">
        <x:v>0</x:v>
      </x:c>
      <x:c r="D16" s="12"/>
      <x:c r="E16" s="12"/>
      <x:c r="F16" s="12"/>
      <x:c r="G16" s="12"/>
      <x:c r="H16" s="12"/>
    </x:row>
    <x:row r="17" ht="30" customHeight="1">
      <x:c r="A17" s="9" t="str">
        <x:v>FactConsolidation SH 64K</x:v>
      </x:c>
      <x:c r="B17" s="11" t="n">
        <x:v>0</x:v>
      </x:c>
      <x:c r="C17" s="11" t="n">
        <x:v>0</x:v>
      </x:c>
      <x:c r="D17" s="12"/>
      <x:c r="E17" s="12"/>
      <x:c r="F17" s="12"/>
      <x:c r="G17" s="12"/>
      <x:c r="H17" s="12"/>
    </x:row>
    <x:row r="18" ht="30" customHeight="1">
      <x:c r="A18" s="9" t="str">
        <x:v>FactConsolidation MH 64K</x:v>
      </x:c>
      <x:c r="B18" s="11" t="n">
        <x:v>0</x:v>
      </x:c>
      <x:c r="C18" s="11" t="n">
        <x:v>0</x:v>
      </x:c>
      <x:c r="D18" s="12"/>
      <x:c r="E18" s="12"/>
      <x:c r="F18" s="12"/>
      <x:c r="G18" s="12"/>
      <x:c r="H18" s="12"/>
    </x:row>
    <x:row r="19" ht="30" customHeight="1">
      <x:c r="A19" s="9" t="str">
        <x:v>FactConsolidation SH 262K</x:v>
      </x:c>
      <x:c r="B19" s="11" t="n">
        <x:v>0</x:v>
      </x:c>
      <x:c r="C19" s="11" t="n">
        <x:v>0</x:v>
      </x:c>
      <x:c r="D19" s="12"/>
      <x:c r="E19" s="12"/>
      <x:c r="F19" s="12"/>
      <x:c r="G19" s="12"/>
      <x:c r="H19" s="12"/>
    </x:row>
    <x:row r="20" ht="30" customHeight="1">
      <x:c r="A20" s="9" t="str">
        <x:v>FactConsolidation MH 262K</x:v>
      </x:c>
      <x:c r="B20" s="11" t="n">
        <x:v>0</x:v>
      </x:c>
      <x:c r="C20" s="11" t="n">
        <x:v>0</x:v>
      </x:c>
      <x:c r="D20" s="12"/>
      <x:c r="E20" s="12"/>
      <x:c r="F20" s="12"/>
      <x:c r="G20" s="12"/>
      <x:c r="H20" s="12"/>
    </x:row>
    <x:row r="21" ht="30" customHeight="1">
      <x:c r="A21" s="9" t="str">
        <x:v>PersonaMem v2 32K</x:v>
      </x:c>
      <x:c r="B21" s="11" t="n">
        <x:v>0</x:v>
      </x:c>
      <x:c r="C21" s="11" t="n">
        <x:v>0</x:v>
      </x:c>
      <x:c r="D21" s="12"/>
      <x:c r="E21" s="12"/>
      <x:c r="F21" s="12"/>
      <x:c r="G21" s="12"/>
      <x:c r="H21" s="12"/>
    </x:row>
    <x:row r="22" ht="30" customHeight="1">
      <x:c r="A22" s="9" t="str">
        <x:v>PersonaMem v2 128K</x:v>
      </x:c>
      <x:c r="B22" s="11" t="n">
        <x:v>0</x:v>
      </x:c>
      <x:c r="C22" s="11" t="n">
        <x:v>0</x:v>
      </x:c>
      <x:c r="D22" s="12"/>
      <x:c r="E22" s="12"/>
      <x:c r="F22" s="12"/>
      <x:c r="G22" s="12"/>
      <x:c r="H22" s="12"/>
    </x:row>
    <x:row r="23" ht="30" customHeight="1">
      <x:c r="A23" s="9" t="str">
        <x:v>BEAM 100K</x:v>
      </x:c>
      <x:c r="B23" s="11" t="n">
        <x:v>355</x:v>
      </x:c>
      <x:c r="C23" s="11" t="n">
        <x:v>0</x:v>
      </x:c>
      <x:c r="D23" s="12" t="n">
        <x:v>37.03357518850476</x:v>
      </x:c>
      <x:c r="E23" s="12" t="n">
        <x:v>44.76802227506453</x:v>
      </x:c>
      <x:c r="F23" s="12" t="n">
        <x:v>80.14760786943886</x:v>
      </x:c>
      <x:c r="G23" s="12" t="n">
        <x:v>39.04196898563096</x:v>
      </x:c>
      <x:c r="H23" s="12" t="n">
        <x:v>27.323943661971832</x:v>
      </x:c>
    </x:row>
    <x:row r="24" ht="30" customHeight="1">
      <x:c r="A24" s="9" t="str">
        <x:v>BEAM 500K</x:v>
      </x:c>
      <x:c r="B24" s="11" t="n">
        <x:v>629</x:v>
      </x:c>
      <x:c r="C24" s="11" t="n">
        <x:v>0</x:v>
      </x:c>
      <x:c r="D24" s="12" t="n">
        <x:v>31.759555064053334</x:v>
      </x:c>
      <x:c r="E24" s="12" t="n">
        <x:v>41.20211928602932</x:v>
      </x:c>
      <x:c r="F24" s="12" t="n">
        <x:v>69.36514933122234</x:v>
      </x:c>
      <x:c r="G24" s="12" t="n">
        <x:v>34.04641220385165</x:v>
      </x:c>
      <x:c r="H24" s="12" t="n">
        <x:v>21.462639109697935</x:v>
      </x:c>
    </x:row>
    <x:row r="25" ht="30" customHeight="1">
      <x:c r="A25" s="9" t="str">
        <x:v>BEAM 1M</x:v>
      </x:c>
      <x:c r="B25" s="11" t="n">
        <x:v>625</x:v>
      </x:c>
      <x:c r="C25" s="11" t="n">
        <x:v>0</x:v>
      </x:c>
      <x:c r="D25" s="12" t="n">
        <x:v>22.617266470024763</x:v>
      </x:c>
      <x:c r="E25" s="12" t="n">
        <x:v>30.310389163070013</x:v>
      </x:c>
      <x:c r="F25" s="12" t="n">
        <x:v>58.91712056610234</x:v>
      </x:c>
      <x:c r="G25" s="12" t="n">
        <x:v>24.973326975544364</x:v>
      </x:c>
      <x:c r="H25" s="12" t="n">
        <x:v>13.600000000000001</x:v>
      </x:c>
    </x:row>
  </x:sheetData>
  <x:mergeCells>
    <x:mergeCell ref="A2:H3"/>
  </x:mergeCells>
  <x:pageMargins left="0.7" right="0.7" top="0.75" bottom="0.75" header="0.3" footer="0.3"/>
  <x:tableParts count="1">
    <x:tablePart xmlns:r="http://schemas.openxmlformats.org/officeDocument/2006/relationships" r:id="R36263e179c70415e"/>
  </x:tableParts>
</x:worksheet>
</file>

<file path=xl/worksheets/sheet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14" hidden="0" customWidth="1"/>
    <x:col min="3" max="3" width="14" hidden="0" customWidth="1"/>
    <x:col min="4" max="4" width="30" hidden="0" customWidth="1"/>
    <x:col min="5" max="5" width="14" hidden="0" customWidth="1"/>
    <x:col min="6" max="6" width="18" hidden="0" customWidth="1"/>
    <x:col min="7" max="7" width="20" hidden="0" customWidth="1"/>
    <x:col min="8" max="8" width="20" hidden="0" customWidth="1"/>
  </x:cols>
  <x:sheetData>
    <x:row r="1" ht="32" customHeight="1">
      <x:c r="A1" s="3" t="str">
        <x:v>Completed API requests and reservations</x:v>
      </x:c>
      <x:c r="B1" s="2"/>
      <x:c r="C1" s="2"/>
      <x:c r="D1" s="2"/>
      <x:c r="E1" s="2"/>
      <x:c r="F1" s="2"/>
      <x:c r="G1" s="2"/>
      <x:c r="H1" s="2"/>
    </x:row>
    <x:row r="2" ht="22" customHeight="1">
      <x:c r="A2" s="5" t="str">
        <x:v>Each ledger request counted once. Costs are token-based estimates, not a reconciled invoice. BCD includes $0.38770325 preflight cache imports. Earlier Part 1 work excluded. Local compute, storage and operations unpriced. Source: calls.sqlite.</x:v>
      </x:c>
      <x:c r="B2" s="5"/>
      <x:c r="C2" s="5"/>
      <x:c r="D2" s="5"/>
      <x:c r="E2" s="5"/>
      <x:c r="F2" s="5"/>
      <x:c r="G2" s="5"/>
      <x:c r="H2" s="5"/>
    </x:row>
    <x:row r="3" ht="22" customHeight="1">
      <x:c r="A3" s="5"/>
      <x:c r="B3" s="5"/>
      <x:c r="C3" s="5"/>
      <x:c r="D3" s="5"/>
      <x:c r="E3" s="5"/>
      <x:c r="F3" s="5"/>
      <x:c r="G3" s="5"/>
      <x:c r="H3" s="5"/>
    </x:row>
    <x:row r="4" ht="10" customHeight="1">
      <x:c r="A4" s="2"/>
      <x:c r="B4" s="2"/>
      <x:c r="C4" s="2"/>
      <x:c r="D4" s="2"/>
      <x:c r="E4" s="2"/>
      <x:c r="F4" s="2"/>
      <x:c r="G4" s="2"/>
      <x:c r="H4" s="2"/>
    </x:row>
    <x:row r="5" ht="48" customHeight="1">
      <x:c r="A5" s="8" t="str">
        <x:v>Campaign</x:v>
      </x:c>
      <x:c r="B5" s="8" t="str">
        <x:v>Role</x:v>
      </x:c>
      <x:c r="C5" s="8" t="str">
        <x:v>Status</x:v>
      </x:c>
      <x:c r="D5" s="8" t="str">
        <x:v>Model</x:v>
      </x:c>
      <x:c r="E5" s="8" t="str">
        <x:v>Calls</x:v>
      </x:c>
      <x:c r="F5" s="8" t="str">
        <x:v>USD</x:v>
      </x:c>
      <x:c r="G5" s="8" t="str">
        <x:v>Input tokens</x:v>
      </x:c>
      <x:c r="H5" s="8" t="str">
        <x:v>Output tokens</x:v>
      </x:c>
    </x:row>
    <x:row r="6" ht="30" customHeight="1">
      <x:c r="A6" s="9" t="str">
        <x:v>A</x:v>
      </x:c>
      <x:c r="B6" s="9" t="str">
        <x:v>preflight/smoke</x:v>
      </x:c>
      <x:c r="C6" s="9" t="str">
        <x:v>done</x:v>
      </x:c>
      <x:c r="D6" s="9" t="str">
        <x:v>gemini-2.5-flash-lite</x:v>
      </x:c>
      <x:c r="E6" s="11" t="n">
        <x:v>1</x:v>
      </x:c>
      <x:c r="F6" s="16" t="n">
        <x:v>0.0000011</x:v>
      </x:c>
      <x:c r="G6" s="11" t="n">
        <x:v>7</x:v>
      </x:c>
      <x:c r="H6" s="11" t="n">
        <x:v>1</x:v>
      </x:c>
    </x:row>
    <x:row r="7" ht="30" customHeight="1">
      <x:c r="A7" s="9" t="str">
        <x:v>A</x:v>
      </x:c>
      <x:c r="B7" s="9" t="str">
        <x:v>preflight/smoke</x:v>
      </x:c>
      <x:c r="C7" s="9" t="str">
        <x:v>done</x:v>
      </x:c>
      <x:c r="D7" s="9" t="str">
        <x:v>gemini-3.6-flash</x:v>
      </x:c>
      <x:c r="E7" s="11" t="n">
        <x:v>3</x:v>
      </x:c>
      <x:c r="F7" s="16" t="n">
        <x:v>0.01013475</x:v>
      </x:c>
      <x:c r="G7" s="11" t="n">
        <x:v>9528</x:v>
      </x:c>
      <x:c r="H7" s="11" t="n">
        <x:v>797</x:v>
      </x:c>
    </x:row>
    <x:row r="8" ht="30" customHeight="1">
      <x:c r="A8" s="9" t="str">
        <x:v>A</x:v>
      </x:c>
      <x:c r="B8" s="9" t="str">
        <x:v>answer</x:v>
      </x:c>
      <x:c r="C8" s="9" t="str">
        <x:v>done</x:v>
      </x:c>
      <x:c r="D8" s="9" t="str">
        <x:v>gemini-3.6-flash</x:v>
      </x:c>
      <x:c r="E8" s="11" t="n">
        <x:v>20129</x:v>
      </x:c>
      <x:c r="F8" s="16" t="n">
        <x:v>114.18407925</x:v>
      </x:c>
      <x:c r="G8" s="11" t="n">
        <x:v>89700504</x:v>
      </x:c>
      <x:c r="H8" s="11" t="n">
        <x:v>12508987</x:v>
      </x:c>
    </x:row>
    <x:row r="9" ht="30" customHeight="1">
      <x:c r="A9" s="9" t="str">
        <x:v>A</x:v>
      </x:c>
      <x:c r="B9" s="9" t="str">
        <x:v>judge</x:v>
      </x:c>
      <x:c r="C9" s="9" t="str">
        <x:v>done</x:v>
      </x:c>
      <x:c r="D9" s="9" t="str">
        <x:v>gemini-2.5-flash-lite</x:v>
      </x:c>
      <x:c r="E9" s="11" t="n">
        <x:v>13554</x:v>
      </x:c>
      <x:c r="F9" s="16" t="n">
        <x:v>0.7487475</x:v>
      </x:c>
      <x:c r="G9" s="11" t="n">
        <x:v>5897967</x:v>
      </x:c>
      <x:c r="H9" s="11" t="n">
        <x:v>397377</x:v>
      </x:c>
    </x:row>
    <x:row r="10" ht="30" customHeight="1">
      <x:c r="A10" s="9" t="str">
        <x:v>B/C/D</x:v>
      </x:c>
      <x:c r="B10" s="9" t="str">
        <x:v>answer</x:v>
      </x:c>
      <x:c r="C10" s="9" t="str">
        <x:v>done</x:v>
      </x:c>
      <x:c r="D10" s="9" t="str">
        <x:v>gemini-3.6-flash</x:v>
      </x:c>
      <x:c r="E10" s="11" t="n">
        <x:v>4858</x:v>
      </x:c>
      <x:c r="F10" s="16" t="n">
        <x:v>26.5129305</x:v>
      </x:c>
      <x:c r="G10" s="11" t="n">
        <x:v>22257204</x:v>
      </x:c>
      <x:c r="H10" s="11" t="n">
        <x:v>2618674</x:v>
      </x:c>
    </x:row>
    <x:row r="11" ht="30" customHeight="1">
      <x:c r="A11" s="9" t="str">
        <x:v>B/C/D</x:v>
      </x:c>
      <x:c r="B11" s="9" t="str">
        <x:v>extract</x:v>
      </x:c>
      <x:c r="C11" s="9" t="str">
        <x:v>done</x:v>
      </x:c>
      <x:c r="D11" s="9" t="str">
        <x:v>gemini-2.5-flash-lite</x:v>
      </x:c>
      <x:c r="E11" s="11" t="n">
        <x:v>10441</x:v>
      </x:c>
      <x:c r="F11" s="16" t="n">
        <x:v>5.6083904</x:v>
      </x:c>
      <x:c r="G11" s="11" t="n">
        <x:v>5991740</x:v>
      </x:c>
      <x:c r="H11" s="11" t="n">
        <x:v>12523041</x:v>
      </x:c>
    </x:row>
    <x:row r="12" ht="30" customHeight="1">
      <x:c r="A12" s="9" t="str">
        <x:v>B/C/D</x:v>
      </x:c>
      <x:c r="B12" s="9" t="str">
        <x:v>judge</x:v>
      </x:c>
      <x:c r="C12" s="9" t="str">
        <x:v>done</x:v>
      </x:c>
      <x:c r="D12" s="9" t="str">
        <x:v>gemini-2.5-flash-lite</x:v>
      </x:c>
      <x:c r="E12" s="11" t="n">
        <x:v>2259</x:v>
      </x:c>
      <x:c r="F12" s="16" t="n">
        <x:v>0.1637916</x:v>
      </x:c>
      <x:c r="G12" s="11" t="n">
        <x:v>1266652</x:v>
      </x:c>
      <x:c r="H12" s="11" t="n">
        <x:v>92816</x:v>
      </x:c>
    </x:row>
    <x:row r="14">
      <x:c r="A14" s="18" t="str">
        <x:v>Completed spend</x:v>
      </x:c>
      <x:c r="B14" s="18"/>
      <x:c r="C14" s="18"/>
      <x:c r="D14" s="18"/>
      <x:c r="F14" s="19" t="n">
        <x:f>SUMIF(C6:C12,"done",F6:F12)</x:f>
        <x:v>147.22807509999998</x:v>
      </x:c>
    </x:row>
    <x:row r="15">
      <x:c r="A15" s="18" t="str">
        <x:v>Reserved / unresolved</x:v>
      </x:c>
      <x:c r="B15" s="18"/>
      <x:c r="C15" s="18"/>
      <x:c r="D15" s="18"/>
      <x:c r="F15" s="19" t="n">
        <x:f>SUM(F6:F12)-F14</x:f>
        <x:v>0</x:v>
      </x:c>
    </x:row>
  </x:sheetData>
  <x:mergeCells>
    <x:mergeCell ref="A2:H3"/>
  </x:mergeCells>
  <x:pageMargins left="0.7" right="0.7" top="0.75" bottom="0.75" header="0.3" footer="0.3"/>
  <x:tableParts count="1">
    <x:tablePart xmlns:r="http://schemas.openxmlformats.org/officeDocument/2006/relationships" r:id="Rd274a6ea8ab245d5"/>
  </x:tableParts>
</x:worksheet>
</file>

<file path=xl/worksheets/sheet1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170" hidden="0" customWidth="1"/>
  </x:cols>
  <x:sheetData>
    <x:row r="1" ht="32" customHeight="1">
      <x:c r="A1" s="3" t="str">
        <x:v>Findings, scope and remaining work</x:v>
      </x:c>
      <x:c r="B1" s="2"/>
    </x:row>
    <x:row r="2" ht="22" customHeight="1">
      <x:c r="A2" s="5" t="str">
        <x:v>Read alongside the summary before drawing quality or cost conclusions. Evidence: saved experiment protocols, metrics, API ledgers and validation artifacts.</x:v>
      </x:c>
      <x:c r="B2" s="5"/>
    </x:row>
    <x:row r="3" ht="22" customHeight="1">
      <x:c r="A3" s="5"/>
      <x:c r="B3" s="5"/>
    </x:row>
    <x:row r="4" ht="10" customHeight="1">
      <x:c r="A4" s="2"/>
      <x:c r="B4" s="2"/>
    </x:row>
    <x:row r="5" ht="48" customHeight="1">
      <x:c r="A5" s="8" t="str">
        <x:v>Topic</x:v>
      </x:c>
      <x:c r="B5" s="8" t="str">
        <x:v>Finding or limitation</x:v>
      </x:c>
    </x:row>
    <x:row r="6" ht="62" customHeight="1">
      <x:c r="A6" s="9" t="str">
        <x:v>Report scope</x:v>
      </x:c>
      <x:c r="B6" s="9" t="str">
        <x:v>This report covers the current Version A and B/C/D campaigns. Older Part 1 variants, scores and spending are not mixed into these comparisons.</x:v>
      </x:c>
    </x:row>
    <x:row r="7" ht="62" customHeight="1">
      <x:c r="A7" s="9" t="str">
        <x:v>Evidence budget audit</x:v>
      </x:c>
      <x:c r="B7" s="9" t="str">
        <x:v>MuSiQue / A full: 1 answers over 4,000 tokens, maximum 4001</x:v>
      </x:c>
    </x:row>
    <x:row r="8" ht="62" customHeight="1">
      <x:c r="A8" s="9" t="str">
        <x:v>Completion</x:v>
      </x:c>
      <x:c r="B8" s="9" t="str">
        <x:v>A: 20,142 questions across 19 active variants. B/C/D: 19/19 variants complete; 100 requested per variant per arm. BEAM 10M deferred.</x:v>
      </x:c>
    </x:row>
    <x:row r="9" ht="62" customHeight="1">
      <x:c r="A9" s="9" t="str">
        <x:v>Metric scale</x:v>
      </x:c>
      <x:c r="B9" s="9" t="str">
        <x:v>Scores are on 0-100 display scale. F1 and BEAM rubric mean are not percentages of questions answered correctly. Correct counts use exact match for F1 datasets.</x:v>
      </x:c>
    </x:row>
    <x:row r="10" ht="62" customHeight="1">
      <x:c r="A10" s="9" t="str">
        <x:v>Scope</x:v>
      </x:c>
      <x:c r="B10" s="9" t="str">
        <x:v>A full means the selected released benchmark variant. MuSiQue/2Wiki use HippoRAG 2 released 1,000-question samples. Only FactConsolidation B/C/D are full 100-question variants; others are screens.</x:v>
      </x:c>
    </x:row>
    <x:row r="11" ht="62" customHeight="1">
      <x:c r="A11" s="9" t="str">
        <x:v>Oracle</x:v>
      </x:c>
      <x:c r="B11" s="9" t="str">
        <x:v>LongMemEval oracle supplies relevant sessions and is a diagnostic; it does not establish full-history retrieval performance.</x:v>
      </x:c>
    </x:row>
    <x:row r="12" ht="62" customHeight="1">
      <x:c r="A12" s="9" t="str">
        <x:v>Accounting</x:v>
      </x:c>
      <x:c r="B12" s="9" t="str">
        <x:v>USD estimates use recorded provider token usage and fixed configured prices. Actual API spend counts each completed ledger request once, including preflights and recovered attempts. This is not an invoice reconciliation.</x:v>
      </x:c>
    </x:row>
    <x:row r="13" ht="62" customHeight="1">
      <x:c r="A13" s="9" t="str">
        <x:v>Logical cost</x:v>
      </x:c>
      <x:c r="B13" s="9" t="str">
        <x:v>Per-arm serving cost = reader cost + shared fact setup allocation. Cache hits retain standalone logical cost. B/C/D share setup in the experiment; do not sum setup three times. Judges are separate evaluation overhead.</x:v>
      </x:c>
    </x:row>
    <x:row r="14" ht="62" customHeight="1">
      <x:c r="A14" s="9" t="str">
        <x:v>Quality-adjusted cost</x:v>
      </x:c>
      <x:c r="B14" s="9" t="str">
        <x:v>Cost per correct = logical serving dollars / correct count. Uses exact match for MuSiQue/2Wiki, binary correctness elsewhere; undefined for BEAM. It includes setup amortized over this sample, not a proven production workload.</x:v>
      </x:c>
    </x:row>
    <x:row r="15" ht="62" customHeight="1">
      <x:c r="A15" s="9" t="str">
        <x:v>Runtime</x:v>
      </x:c>
      <x:c r="B15" s="9" t="str">
        <x:v>Index minutes sum saved group build durations, including cached group loads; exclude lost interrupted work. Preparation minutes sum group extraction/graph durations. Neither is end-to-end campaign elapsed time or CPU core-hours. Cache reconciliation timestamps are not initial runtimes.</x:v>
      </x:c>
    </x:row>
    <x:row r="16" ht="62" customHeight="1">
      <x:c r="A16" s="9" t="str">
        <x:v>Latency</x:v>
      </x:c>
      <x:c r="B16" s="9" t="str">
        <x:v>Reader latency quantiles exclude cached answers. They omit fact setup, retrieval, judging and production serving overhead. A retrieval latency is shown separately.</x:v>
      </x:c>
    </x:row>
    <x:row r="17" ht="62" customHeight="1">
      <x:c r="A17" s="9" t="str">
        <x:v>Local compute</x:v>
      </x:c>
      <x:c r="B17" s="9" t="str">
        <x:v>Local embedding, graph compute, storage, energy, engineering and SaaS operations are not monetized. Zero ingestion LLM dollars does not mean zero total indexing cost.</x:v>
      </x:c>
    </x:row>
    <x:row r="18" ht="62" customHeight="1">
      <x:c r="A18" s="9" t="str">
        <x:v>Uncertainty</x:v>
      </x:c>
      <x:c r="B18" s="9" t="str">
        <x:v>Paired 95% bootstrap intervals resample histories (2,000 draws, seed 13). Single-corpus datasets have no history-cluster interval. Results are exploratory, with no multiple-comparison correction or repeated model seeds.</x:v>
      </x:c>
    </x:row>
    <x:row r="19" ht="62" customHeight="1">
      <x:c r="A19" s="9" t="str">
        <x:v>Causal limits</x:v>
      </x:c>
      <x:c r="B19" s="9" t="str">
        <x:v>B changes representation; C adds validity text, suppression and ranking replacement together; D adds all graph channels together. No B-plus-graph without C, topics-only, communities-only or relationships-only ablation has run.</x:v>
      </x:c>
    </x:row>
    <x:row r="20" ht="62" customHeight="1">
      <x:c r="A20" s="9" t="str">
        <x:v>Lazy scope</x:v>
      </x:c>
      <x:c r="B20" s="9" t="str">
        <x:v>Facts are cached once per exact namespace/source/protocol identity. This is not one extraction forever for changing text or extraction versions. Warm discovery uses only source text selected by sample queries; no gold answers/options/rubrics enter extraction.</x:v>
      </x:c>
    </x:row>
    <x:row r="21" ht="62" customHeight="1">
      <x:c r="A21" s="9" t="str">
        <x:v>Validity limits</x:v>
      </x:c>
      <x:c r="B21" s="9" t="str">
        <x:v>Temporal updates operate on discovered, validated facts with strict matching and ordering. No full entity resolution, exhaustive contradiction detection or production transaction-time API is established.</x:v>
      </x:c>
    </x:row>
    <x:row r="22" ht="62" customHeight="1">
      <x:c r="A22" s="9" t="str">
        <x:v>Fact validation limits</x:v>
      </x:c>
      <x:c r="B22" s="9" t="str">
        <x:v>The parser checks normalized quote and object text against the source. It does not independently verify the subject/predicate interpretation, exclusivity classification or date meaning. Extracted dates are checked for ISO-shaped text, not source entailment or calendar validity. Those fields still depend on extractor accuracy.</x:v>
      </x:c>
    </x:row>
    <x:row r="23" ht="62" customHeight="1">
      <x:c r="A23" s="9" t="str">
        <x:v>Observed temporal defect</x:v>
      </x:c>
      <x:c r="B23" s="9" t="str">
        <x:v>21 stored facts have valid_to earlier than valid_from. Missing starts default to the source message date, and the code has no interval-order guard. C and D results retain this defect as run; no post-hoc correction or paid rerun is included. Its contribution to score changes has not been isolated.</x:v>
      </x:c>
    </x:row>
    <x:row r="24" ht="62" customHeight="1">
      <x:c r="A24" s="9" t="str">
        <x:v>Failures</x:v>
      </x:c>
      <x:c r="B24" s="9" t="str">
        <x:v>Empty reader answers score zero. Invalid extraction JSON or grounding uses raw source fallback. BEAM invalid JSON escapes were repaired deterministically on cached text. No quality retries were used to improve answers.</x:v>
      </x:c>
    </x:row>
    <x:row r="25" ht="62" customHeight="1">
      <x:c r="A25" s="9" t="str">
        <x:v>Judge JSON recovery</x:v>
      </x:c>
      <x:c r="B25" s="9" t="str">
        <x:v>1 malformed BEAM reason strings were recovered using a separately recorded parser overlay. Only a sole leading numeric score in {0,0.5,1} is accepted; ambiguous/duplicate scores are rejected. Cached raw text and token usage are preserved. Recovery did not ask the model to judge again.</x:v>
      </x:c>
    </x:row>
    <x:row r="26" ht="62" customHeight="1">
      <x:c r="A26" s="9" t="str">
        <x:v>Retrieval metric</x:v>
      </x:c>
      <x:c r="B26" s="9" t="str">
        <x:v>Evidence recall and all-evidence coverage are diagnostics. MultiHop-RAG uses source/article coverage, not the paper's fact Hit@K. Missing gold evidence is disclosed. Do not compare unlike Hit@K definitions.</x:v>
      </x:c>
    </x:row>
    <x:row r="27" ht="62" customHeight="1">
      <x:c r="A27" s="9" t="str">
        <x:v>External comparisons</x:v>
      </x:c>
      <x:c r="B27" s="9" t="str">
        <x:v>This campaign compares our A/B/C/D. It does not rerun Chandan, Zep, Mem0 or other providers under the same models and costs; it does not establish industry-best quality or a total-cost advantage over those systems.</x:v>
      </x:c>
    </x:row>
    <x:row r="28" ht="62" customHeight="1">
      <x:c r="A28" s="9" t="str">
        <x:v>Remaining work</x:v>
      </x:c>
      <x:c r="B28" s="9" t="str">
        <x:v>No BEAM 10M, full B/C/D expansion on larger variants, PersonaMem open-ended scoring, cold-start/online replay, production load test, independent judge audit or complete external-provider controlled comparison.</x:v>
      </x:c>
    </x:row>
    <x:row r="29" ht="62" customHeight="1">
      <x:c r="A29" s="9" t="str">
        <x:v>Validation</x:v>
      </x:c>
      <x:c r="B29" s="9" t="str">
        <x:v>Saved validation: 429 passed / 1 skipped full suite; subsequent BCD targeted check 19 passed. These overlap and must not be added. Report values are independently recomputed from saved answers.</x:v>
      </x:c>
    </x:row>
    <x:row r="30" ht="62" customHeight="1">
      <x:c r="A30" s="9" t="str">
        <x:v>Lineage</x:v>
      </x:c>
      <x:c r="B30" s="9" t="str">
        <x:v>A: metrics.json and answers.jsonl; B/C/D: sample.json, answers_A/B/C/D.jsonl, contexts.jsonl, groups/*.json, run.json; API accounting: calls.sqlite. Report audit JSON records exact source hashes.</x:v>
      </x:c>
    </x:row>
    <x:row r="31" ht="62" customHeight="1">
      <x:c r="A31" s="9" t="str">
        <x:v>Reproducibility scope</x:v>
      </x:c>
      <x:c r="B31" s="9" t="str">
        <x:v>New A/B/C/D implementation is identified by saved working-tree code hashes. The report recomputes from local saved artifacts. A fresh clone rerun, all publication gates and public release have not been completed.</x:v>
      </x:c>
    </x:row>
  </x:sheetData>
  <x:mergeCells>
    <x:mergeCell ref="A2:B3"/>
  </x:mergeCells>
  <x:pageMargins left="0.7" right="0.7" top="0.75" bottom="0.75" header="0.3" footer="0.3"/>
  <x:tableParts count="1">
    <x:tablePart xmlns:r="http://schemas.openxmlformats.org/officeDocument/2006/relationships" r:id="R6896eef66f014dad"/>
  </x:tableParts>
</x:worksheet>
</file>

<file path=xl/worksheets/sheet1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2" hidden="0" customWidth="1"/>
    <x:col min="2" max="2" width="58" hidden="0" customWidth="1"/>
    <x:col min="3" max="3" width="82" hidden="0" customWidth="1"/>
    <x:col min="4" max="4" width="115" hidden="0" customWidth="1"/>
  </x:cols>
  <x:sheetData>
    <x:row r="1" ht="32" customHeight="1">
      <x:c r="A1" s="3" t="str">
        <x:v>Dataset provenance and protocol differences</x:v>
      </x:c>
      <x:c r="B1" s="2"/>
      <x:c r="C1" s="2"/>
      <x:c r="D1" s="2"/>
    </x:row>
    <x:row r="2" ht="22" customHeight="1">
      <x:c r="A2" s="5" t="str">
        <x:v>Source manifests pin revisions and file hashes. The companion AUDIT.json records the exact local artifacts used for this report. Protocol differences prevent treating published provider scores as a controlled head-to-head comparison.</x:v>
      </x:c>
      <x:c r="B2" s="5"/>
      <x:c r="C2" s="5"/>
      <x:c r="D2" s="5"/>
    </x:row>
    <x:row r="3" ht="22" customHeight="1">
      <x:c r="A3" s="5"/>
      <x:c r="B3" s="5"/>
      <x:c r="C3" s="5"/>
      <x:c r="D3" s="5"/>
    </x:row>
    <x:row r="4" ht="10" customHeight="1">
      <x:c r="A4" s="2"/>
      <x:c r="B4" s="2"/>
      <x:c r="C4" s="2"/>
      <x:c r="D4" s="2"/>
    </x:row>
    <x:row r="5" ht="48" customHeight="1">
      <x:c r="A5" s="8" t="str">
        <x:v>Test</x:v>
      </x:c>
      <x:c r="B5" s="8" t="str">
        <x:v>Variant evaluated</x:v>
      </x:c>
      <x:c r="C5" s="8" t="str">
        <x:v>Source URL or dataset</x:v>
      </x:c>
      <x:c r="D5" s="8" t="str">
        <x:v>Protocol differences</x:v>
      </x:c>
    </x:row>
    <x:row r="6" ht="125" customHeight="1">
      <x:c r="A6" s="9" t="str">
        <x:v>LoCoMo</x:v>
      </x:c>
      <x:c r="B6" s="9" t="str">
        <x:v>locomo10_all_categories</x:v>
      </x:c>
      <x:c r="C6" s="9" t="str">
        <x:v>https://raw.githubusercontent.com/snap-research/locomo/3eb6f2c585f5e1699204e3c3bdf7adc5c28cb376/data/locomo10.json</x:v>
      </x:c>
      <x:c r="D6" s="9" t="str">
        <x:v>Version A retrieves raw turns and supplied BLIP captions, never generated observations or summaries. / Primary judge accuracy uses categories 1-4 (1540 questions); 446 category-5 abstention questions are separate. / Original LoCoMo reports category-specific stemmed F1; judge accuracy is a distinct metric. / Compound evidence labels are split when unambiguous; unresolvable source labels are recorded, not repaired. / Question-level retrieval recall with incomplete source evidence must be reported separately.</x:v>
      </x:c>
    </x:row>
    <x:row r="7" ht="125" customHeight="1">
      <x:c r="A7" s="9" t="str">
        <x:v>MuSiQue</x:v>
      </x:c>
      <x:c r="B7" s="9" t="str">
        <x:v>HippoRAG 2 released 1,000-question sample; shared full sampled corpus</x:v>
      </x:c>
      <x:c r="C7" s="9" t="str">
        <x:v>https://huggingface.co/datasets/osunlp/HippoRAG_2</x:v>
      </x:c>
      <x:c r="D7" s="9" t="str">
        <x:v>source_evaluation: https://github.com/OSU-NLP-Group/HippoRAG/blob/1438aba3fc44ff10573e5a5e1e7cc3c7f9794aff/main.py / corpus_unit: Whole title + newline + paragraph, unchanged from release / retrieval: Mean gold-passage Recall@5 and all-evidence coverage, answerable questions only / answering: Maximum normalized token F1 and exact match over answer and answer_aliases / reference_answer_context: Top five whole passages in the HippoRAG 2 evaluation / leakage_control: No supporting flags, answers, decompositions, or query-specific contexts in corpus; one global search pool / scoring_note: Our token budget, encoder, reader and judge must be disclosed separately from the released dataset</x:v>
      </x:c>
    </x:row>
    <x:row r="8" ht="125" customHeight="1">
      <x:c r="A8" s="9" t="str">
        <x:v>2WikiMultiHopQA</x:v>
      </x:c>
      <x:c r="B8" s="9" t="str">
        <x:v>HippoRAG 2 released 1,000-question sample; shared full sampled corpus</x:v>
      </x:c>
      <x:c r="C8" s="9" t="str">
        <x:v>https://huggingface.co/datasets/osunlp/HippoRAG_2</x:v>
      </x:c>
      <x:c r="D8" s="9" t="str">
        <x:v>source_evaluation: https://github.com/OSU-NLP-Group/HippoRAG/blob/1438aba3fc44ff10573e5a5e1e7cc3c7f9794aff/main.py / corpus_unit: Whole title + newline + paragraph, unchanged from release / retrieval: Mean gold-passage Recall@5 and all-evidence coverage, answerable questions only / answering: Maximum normalized token F1 and exact match over answer and answer_aliases / reference_answer_context: Top five whole passages in the HippoRAG 2 evaluation / leakage_control: No supporting flags, answers, decompositions, or query-specific contexts in corpus; one global search pool / scoring_note: Our token budget, encoder, reader and judge must be disclosed separately from the released dataset</x:v>
      </x:c>
    </x:row>
    <x:row r="9" ht="125" customHeight="1">
      <x:c r="A9" s="9" t="str">
        <x:v>LongMemEval S</x:v>
      </x:c>
      <x:c r="B9" s="9" t="str">
        <x:v>s</x:v>
      </x:c>
      <x:c r="C9" s="9" t="str">
        <x:v>https://huggingface.co/datasets/xiaowu0162/longmemeval</x:v>
      </x:c>
      <x:c r="D9" s="9" t="str">
        <x:v>Repeated session IDs retain each dated occurrence with a distinct unit ID; source IDs and positions are preserved.</x:v>
      </x:c>
    </x:row>
    <x:row r="10" ht="125" customHeight="1">
      <x:c r="A10" s="9" t="str">
        <x:v>LongMemEval oracle</x:v>
      </x:c>
      <x:c r="B10" s="9" t="str">
        <x:v>oracle</x:v>
      </x:c>
      <x:c r="C10" s="9" t="str">
        <x:v>https://huggingface.co/datasets/xiaowu0162/longmemeval</x:v>
      </x:c>
      <x:c r="D10" s="9" t="str">
        <x:v>Oracle is derived by retaining marked evidence sessions only.</x:v>
      </x:c>
    </x:row>
    <x:row r="11" ht="125" customHeight="1">
      <x:c r="A11" s="9" t="str">
        <x:v>MultiHop-RAG</x:v>
      </x:c>
      <x:c r="B11" s="9" t="str">
        <x:v>Full train split, including null questions</x:v>
      </x:c>
      <x:c r="C11" s="9" t="str">
        <x:v>https://huggingface.co/datasets/yixuantt/MultiHopRAG</x:v>
      </x:c>
      <x:c r="D11" s="9" t="str">
        <x:v>corpus_unit: Part 1 paragraph-aware 500-MiniLM-token chunks with no overlap; overlong sentences remain whole / parent_id: Original article ID; question evidence_ids refer to parents, so fold chunk ranking to distinct parents before scoring / retrieval: Article-coverage proxy: distinct gold-article recall; 2,255 nonnull questions. Nulls excluded from retrieval denominator / answering: Answer accuracy including 301 null questions; published paper top-six chunks differs from a fixed token budget / leakage_control: Evidence facts exist only in raw evaluation data; normalized corpus contains article text only / comparison_note: Retrieving one chunk does not establish that the supporting fact was returned. Parent recall and budget coverage are article proxies, not the paper's evidence-fact Hits@K</x:v>
      </x:c>
    </x:row>
    <x:row r="12" ht="125" customHeight="1">
      <x:c r="A12" s="9" t="str">
        <x:v>FactConsolidation SH 6K</x:v>
      </x:c>
      <x:c r="B12" s="9" t="str">
        <x:v>factconsolidation_sh_6k</x:v>
      </x:c>
      <x:c r="C12" s="9" t="str">
        <x:v>https://huggingface.co/datasets/ai-hyz/MemoryAgentBench</x:v>
      </x:c>
      <x:c r="D12"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3" ht="125" customHeight="1">
      <x:c r="A13" s="9" t="str">
        <x:v>FactConsolidation MH 6K</x:v>
      </x:c>
      <x:c r="B13" s="9" t="str">
        <x:v>factconsolidation_mh_6k</x:v>
      </x:c>
      <x:c r="C13" s="9" t="str">
        <x:v>https://huggingface.co/datasets/ai-hyz/MemoryAgentBench</x:v>
      </x:c>
      <x:c r="D13"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4" ht="125" customHeight="1">
      <x:c r="A14" s="9" t="str">
        <x:v>FactConsolidation SH 32K</x:v>
      </x:c>
      <x:c r="B14" s="9" t="str">
        <x:v>factconsolidation_sh_32k</x:v>
      </x:c>
      <x:c r="C14" s="9" t="str">
        <x:v>https://huggingface.co/datasets/ai-hyz/MemoryAgentBench</x:v>
      </x:c>
      <x:c r="D14"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5" ht="125" customHeight="1">
      <x:c r="A15" s="9" t="str">
        <x:v>FactConsolidation MH 32K</x:v>
      </x:c>
      <x:c r="B15" s="9" t="str">
        <x:v>factconsolidation_mh_32k</x:v>
      </x:c>
      <x:c r="C15" s="9" t="str">
        <x:v>https://huggingface.co/datasets/ai-hyz/MemoryAgentBench</x:v>
      </x:c>
      <x:c r="D15"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6" ht="125" customHeight="1">
      <x:c r="A16" s="9" t="str">
        <x:v>FactConsolidation SH 64K</x:v>
      </x:c>
      <x:c r="B16" s="9" t="str">
        <x:v>factconsolidation_sh_64k</x:v>
      </x:c>
      <x:c r="C16" s="9" t="str">
        <x:v>https://huggingface.co/datasets/ai-hyz/MemoryAgentBench</x:v>
      </x:c>
      <x:c r="D16"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7" ht="125" customHeight="1">
      <x:c r="A17" s="9" t="str">
        <x:v>FactConsolidation MH 64K</x:v>
      </x:c>
      <x:c r="B17" s="9" t="str">
        <x:v>factconsolidation_mh_64k</x:v>
      </x:c>
      <x:c r="C17" s="9" t="str">
        <x:v>https://huggingface.co/datasets/ai-hyz/MemoryAgentBench</x:v>
      </x:c>
      <x:c r="D17"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8" ht="125" customHeight="1">
      <x:c r="A18" s="9" t="str">
        <x:v>FactConsolidation SH 262K</x:v>
      </x:c>
      <x:c r="B18" s="9" t="str">
        <x:v>factconsolidation_sh_262k</x:v>
      </x:c>
      <x:c r="C18" s="9" t="str">
        <x:v>https://huggingface.co/datasets/ai-hyz/MemoryAgentBench</x:v>
      </x:c>
      <x:c r="D18"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19" ht="125" customHeight="1">
      <x:c r="A19" s="9" t="str">
        <x:v>FactConsolidation MH 262K</x:v>
      </x:c>
      <x:c r="B19" s="9" t="str">
        <x:v>factconsolidation_mh_262k</x:v>
      </x:c>
      <x:c r="C19" s="9" t="str">
        <x:v>https://huggingface.co/datasets/ai-hyz/MemoryAgentBench</x:v>
      </x:c>
      <x:c r="D19" s="9" t="str">
        <x:v>Full author-provided variant, 100 questions; no question subsampling. / Corpus contains only original context, including superseded and counterfactual facts in order. / 200-word chunks with 30-word overlap. Numeric fact serials preserved; no world-knowledge repair. / No gold evidence IDs supplied. Answer containment is not evidence recall. / Official accuracy is maximum normalized substring match across reference answers. / Scoring source: HUST-AI-HYZ/MemoryAgentBench@fe1735de8cf8b9908e1e3d3b5612afc815698062, utils/eval_other_utils.py.</x:v>
      </x:c>
    </x:row>
    <x:row r="20" ht="125" customHeight="1">
      <x:c r="A20" s="9" t="str">
        <x:v>PersonaMem v2 32K</x:v>
      </x:c>
      <x:c r="B20" s="9" t="str">
        <x:v>text_benchmark_32k_mcq</x:v>
      </x:c>
      <x:c r="C20" s="9" t="str">
        <x:v>https://huggingface.co/datasets/bowen-upenn/PersonaMem-v2/resolve/ed956dea41521fc4499acbc63f966e0fd3c053ba/</x:v>
      </x:c>
      <x:c r="D20" s="9" t="str">
        <x:v>All 5000 text benchmark questions; train, validation and multimodal variants excluded. / Each of 200 personas has one searchable history, reused for its questions. / Provided system-persona source message is retained, matching official inference.py history loading. / CSV preferences, answers and related snippets are evaluation metadata only, never corpus text. / MCQ order uses a stable SHA256-based seed; upstream uses a process-dependent Python hash. / Related snippets are preserved for open-ended judges but not converted into retrieval gold labels. / Open-ended answers are not measured by this MCQ variant.</x:v>
      </x:c>
    </x:row>
    <x:row r="21" ht="125" customHeight="1">
      <x:c r="A21" s="9" t="str">
        <x:v>PersonaMem v2 128K</x:v>
      </x:c>
      <x:c r="B21" s="9" t="str">
        <x:v>text_benchmark_128k_mcq</x:v>
      </x:c>
      <x:c r="C21" s="9" t="str">
        <x:v>https://huggingface.co/datasets/bowen-upenn/PersonaMem-v2/resolve/ed956dea41521fc4499acbc63f966e0fd3c053ba/</x:v>
      </x:c>
      <x:c r="D21" s="9" t="str">
        <x:v>All 5000 text benchmark questions; train, validation and multimodal variants excluded. / Each of 200 personas has one searchable history, reused for its questions. / Provided system-persona source message is retained, matching official inference.py history loading. / CSV preferences, answers and related snippets are evaluation metadata only, never corpus text. / MCQ order uses a stable SHA256-based seed; upstream uses a process-dependent Python hash. / Related snippets are preserved for open-ended judges but not converted into retrieval gold labels. / Open-ended answers are not measured by this MCQ variant.</x:v>
      </x:c>
    </x:row>
    <x:row r="22" ht="125" customHeight="1">
      <x:c r="A22" s="9" t="str">
        <x:v>BEAM 100K</x:v>
      </x:c>
      <x:c r="B22" s="9" t="str">
        <x:v>beam_100k</x:v>
      </x:c>
      <x:c r="C22" s="9" t="str">
        <x:v>https://huggingface.co/datasets/Mohammadta/BEAM</x:v>
      </x:c>
      <x:c r="D22" s="9" t="str">
        <x:v>Full author-provided split; corpus contains only chat messages, never plans, profiles, questions or rubrics. / Each conversation is isolated. Messages retained intact in source order; time anchors carried forward. / The HF split is named 100K; some paper descriptions call it 128K. Do not silently relabel. / Reference responses can disagree with rubrics. Official rubric, not lexical reference overlap, controls judgement. / Official score averages independent {0,0.5,1} rubric-item judgements per question. No universal binary threshold. / Event ordering also reports Kendall tau-b times F1 after LLM alignment; keep separate from rubric mean. / Gold source IDs are mapped to messages for retrieval diagnostics; missing references are counted, never guessed. / Scoring source: mohammadtavakoli78/BEAM@b2da22eac88bb0874c64665f13457eb99835774a, src/evaluation/compute_metrics.py.</x:v>
      </x:c>
    </x:row>
    <x:row r="23" ht="125" customHeight="1">
      <x:c r="A23" s="9" t="str">
        <x:v>BEAM 500K</x:v>
      </x:c>
      <x:c r="B23" s="9" t="str">
        <x:v>beam_500k</x:v>
      </x:c>
      <x:c r="C23" s="9" t="str">
        <x:v>https://huggingface.co/datasets/Mohammadta/BEAM</x:v>
      </x:c>
      <x:c r="D23" s="9" t="str">
        <x:v>Full author-provided split; corpus contains only chat messages, never plans, profiles, questions or rubrics. / Each conversation is isolated. Messages retained intact in source order; time anchors carried forward. / The HF split is named 100K; some paper descriptions call it 128K. Do not silently relabel. / Reference responses can disagree with rubrics. Official rubric, not lexical reference overlap, controls judgement. / Official score averages independent {0,0.5,1} rubric-item judgements per question. No universal binary threshold. / Event ordering also reports Kendall tau-b times F1 after LLM alignment; keep separate from rubric mean. / Gold source IDs are mapped to messages for retrieval diagnostics; missing references are counted, never guessed. / Scoring source: mohammadtavakoli78/BEAM@b2da22eac88bb0874c64665f13457eb99835774a, src/evaluation/compute_metrics.py.</x:v>
      </x:c>
    </x:row>
    <x:row r="24" ht="125" customHeight="1">
      <x:c r="A24" s="9" t="str">
        <x:v>BEAM 1M</x:v>
      </x:c>
      <x:c r="B24" s="9" t="str">
        <x:v>beam_1m</x:v>
      </x:c>
      <x:c r="C24" s="9" t="str">
        <x:v>https://huggingface.co/datasets/Mohammadta/BEAM</x:v>
      </x:c>
      <x:c r="D24" s="9" t="str">
        <x:v>Full author-provided split; corpus contains only chat messages, never plans, profiles, questions or rubrics. / Each conversation is isolated. Messages retained intact in source order; time anchors carried forward. / The HF split is named 100K; some paper descriptions call it 128K. Do not silently relabel. / Reference responses can disagree with rubrics. Official rubric, not lexical reference overlap, controls judgement. / Official score averages independent {0,0.5,1} rubric-item judgements per question. No universal binary threshold. / Event ordering also reports Kendall tau-b times F1 after LLM alignment; keep separate from rubric mean. / Gold source IDs are mapped to messages for retrieval diagnostics; missing references are counted, never guessed. / Scoring source: mohammadtavakoli78/BEAM@b2da22eac88bb0874c64665f13457eb99835774a, src/evaluation/compute_metrics.py.</x:v>
      </x:c>
    </x:row>
  </x:sheetData>
  <x:mergeCells>
    <x:mergeCell ref="A2:D3"/>
  </x:mergeCells>
  <x:pageMargins left="0.7" right="0.7" top="0.75" bottom="0.75" header="0.3" footer="0.3"/>
  <x:tableParts count="1">
    <x:tablePart xmlns:r="http://schemas.openxmlformats.org/officeDocument/2006/relationships" r:id="R57ff94b354344aad"/>
  </x:tableParts>
</x:worksheet>
</file>